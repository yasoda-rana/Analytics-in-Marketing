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13"/>
  <workbookPr/>
  <mc:AlternateContent xmlns:mc="http://schemas.openxmlformats.org/markup-compatibility/2006">
    <mc:Choice Requires="x15">
      <x15ac:absPath xmlns:x15ac="http://schemas.microsoft.com/office/spreadsheetml/2010/11/ac" url="/Users/yasodarana/Downloads/"/>
    </mc:Choice>
  </mc:AlternateContent>
  <xr:revisionPtr revIDLastSave="0" documentId="8_{DBBE3EFD-EBF7-9946-BED3-CE40DF432226}" xr6:coauthVersionLast="47" xr6:coauthVersionMax="47" xr10:uidLastSave="{00000000-0000-0000-0000-000000000000}"/>
  <bookViews>
    <workbookView xWindow="0" yWindow="720" windowWidth="29400" windowHeight="18400" activeTab="2" xr2:uid="{00000000-000D-0000-FFFF-FFFF00000000}"/>
  </bookViews>
  <sheets>
    <sheet name="Cluster Analysis" sheetId="1" r:id="rId1"/>
    <sheet name="Cluster Analysis 4" sheetId="3" r:id="rId2"/>
    <sheet name="MDS Analysis" sheetId="2" r:id="rId3"/>
  </sheets>
  <externalReferences>
    <externalReference r:id="rId4"/>
    <externalReference r:id="rId5"/>
    <externalReference r:id="rId6"/>
  </externalReferences>
  <definedNames>
    <definedName name="AlbzData" localSheetId="2">#REF!</definedName>
    <definedName name="AlbzData">#REF!</definedName>
    <definedName name="AtlzData" localSheetId="2">#REF!</definedName>
    <definedName name="AtlzData">#REF!</definedName>
    <definedName name="AuszData" localSheetId="2">#REF!</definedName>
    <definedName name="AuszData">#REF!</definedName>
    <definedName name="BalzData" localSheetId="2">#REF!</definedName>
    <definedName name="BalzData">#REF!</definedName>
    <definedName name="BoszData" localSheetId="2">#REF!</definedName>
    <definedName name="BoszData">#REF!</definedName>
    <definedName name="ChazData" localSheetId="2">#REF!</definedName>
    <definedName name="ChazData">#REF!</definedName>
    <definedName name="ChizData" localSheetId="2">#REF!</definedName>
    <definedName name="ChizData">#REF!</definedName>
    <definedName name="CinzData" localSheetId="2">#REF!</definedName>
    <definedName name="CinzData">#REF!</definedName>
    <definedName name="CityData" localSheetId="2">#REF!</definedName>
    <definedName name="CityData">#REF!</definedName>
    <definedName name="ClezData" localSheetId="2">#REF!</definedName>
    <definedName name="ClezData">#REF!</definedName>
    <definedName name="ColzData" localSheetId="2">#REF!</definedName>
    <definedName name="ColzData">#REF!</definedName>
    <definedName name="DalzData" localSheetId="2">#REF!</definedName>
    <definedName name="DalzData">#REF!</definedName>
    <definedName name="DenzData" localSheetId="2">#REF!</definedName>
    <definedName name="DenzData">#REF!</definedName>
    <definedName name="DetzData" localSheetId="2">#REF!</definedName>
    <definedName name="DetzData">#REF!</definedName>
    <definedName name="distances">[1]matrixnba!$K$3:$AM$31</definedName>
    <definedName name="ElPzData" localSheetId="2">#REF!</definedName>
    <definedName name="ElPzData">#REF!</definedName>
    <definedName name="FrezData" localSheetId="2">#REF!</definedName>
    <definedName name="FrezData">#REF!</definedName>
    <definedName name="FtWzData" localSheetId="2">#REF!</definedName>
    <definedName name="FtWzData">#REF!</definedName>
    <definedName name="HonzData" localSheetId="2">#REF!</definedName>
    <definedName name="HonzData">#REF!</definedName>
    <definedName name="HouzData" localSheetId="2">#REF!</definedName>
    <definedName name="HouzData">#REF!</definedName>
    <definedName name="IndzData" localSheetId="2">#REF!</definedName>
    <definedName name="IndzData">#REF!</definedName>
    <definedName name="JaczData" localSheetId="2">#REF!</definedName>
    <definedName name="JaczData">#REF!</definedName>
    <definedName name="KanzData" localSheetId="2">#REF!</definedName>
    <definedName name="KanzData">#REF!</definedName>
    <definedName name="LAzData" localSheetId="2">#REF!</definedName>
    <definedName name="LAzData">#REF!</definedName>
    <definedName name="location">[2]MDS!$C$5:$D$14</definedName>
    <definedName name="LongBzData" localSheetId="2">#REF!</definedName>
    <definedName name="LongBzData">#REF!</definedName>
    <definedName name="lookup">[1]matrixnba!$I$3:$J$30</definedName>
    <definedName name="LVzData" localSheetId="2">#REF!</definedName>
    <definedName name="LVzData">#REF!</definedName>
    <definedName name="MemzData" localSheetId="2">#REF!</definedName>
    <definedName name="MemzData">#REF!</definedName>
    <definedName name="MiazData" localSheetId="2">#REF!</definedName>
    <definedName name="MiazData">#REF!</definedName>
    <definedName name="MilzData" localSheetId="2">#REF!</definedName>
    <definedName name="MilzData">#REF!</definedName>
    <definedName name="MinzData" localSheetId="2">#REF!</definedName>
    <definedName name="MinzData">#REF!</definedName>
    <definedName name="NaszData" localSheetId="2">#REF!</definedName>
    <definedName name="NaszData">#REF!</definedName>
    <definedName name="NOzData" localSheetId="2">#REF!</definedName>
    <definedName name="NOzData">#REF!</definedName>
    <definedName name="NYzData" localSheetId="2">#REF!</definedName>
    <definedName name="NYzData">#REF!</definedName>
    <definedName name="OakzData" localSheetId="2">#REF!</definedName>
    <definedName name="OakzData">#REF!</definedName>
    <definedName name="OKCzData" localSheetId="2">#REF!</definedName>
    <definedName name="OKCzData">#REF!</definedName>
    <definedName name="OmazData" localSheetId="2">#REF!</definedName>
    <definedName name="OmazData">#REF!</definedName>
    <definedName name="originalranks">[1]matrixnba!$K$34:$AM$62</definedName>
    <definedName name="PhizData" localSheetId="2">#REF!</definedName>
    <definedName name="PhizData">#REF!</definedName>
    <definedName name="PhozData" localSheetId="2">#REF!</definedName>
    <definedName name="PhozData">#REF!</definedName>
    <definedName name="PittzData" localSheetId="2">#REF!</definedName>
    <definedName name="PittzData">#REF!</definedName>
    <definedName name="PortzData" localSheetId="2">#REF!</definedName>
    <definedName name="PortzData">#REF!</definedName>
    <definedName name="ranks">[2]MDS!$G$31:$P$40</definedName>
    <definedName name="SaczData" localSheetId="2">#REF!</definedName>
    <definedName name="SaczData">#REF!</definedName>
    <definedName name="SanAzData" localSheetId="2">#REF!</definedName>
    <definedName name="SanAzData">#REF!</definedName>
    <definedName name="SanDzData" localSheetId="2">#REF!</definedName>
    <definedName name="SanDzData">#REF!</definedName>
    <definedName name="SanFzData" localSheetId="2">#REF!</definedName>
    <definedName name="SanFzData">#REF!</definedName>
    <definedName name="SanJzData" localSheetId="2">#REF!</definedName>
    <definedName name="SanJzData">#REF!</definedName>
    <definedName name="SeazData" localSheetId="2">#REF!</definedName>
    <definedName name="SeazData">#REF!</definedName>
    <definedName name="similarities">[2]MDS!$G$5:$P$14</definedName>
    <definedName name="solver_adj" localSheetId="0" hidden="1">'Cluster Analysis'!$O$5:$O$9</definedName>
    <definedName name="solver_adj" localSheetId="1" hidden="1">'Cluster Analysis 4'!$O$5:$O$8</definedName>
    <definedName name="solver_cvg" localSheetId="0" hidden="1">0.0001</definedName>
    <definedName name="solver_cvg" localSheetId="1" hidden="1">0.0001</definedName>
    <definedName name="solver_drv" localSheetId="0" hidden="1">1</definedName>
    <definedName name="solver_drv" localSheetId="1" hidden="1">1</definedName>
    <definedName name="solver_eng" localSheetId="0" hidden="1">3</definedName>
    <definedName name="solver_eng" localSheetId="1" hidden="1">3</definedName>
    <definedName name="solver_itr" localSheetId="0" hidden="1">2147483647</definedName>
    <definedName name="solver_itr" localSheetId="1" hidden="1">2147483647</definedName>
    <definedName name="solver_lhs1" localSheetId="0" hidden="1">'Cluster Analysis'!$O$5:$O$9</definedName>
    <definedName name="solver_lhs1" localSheetId="1" hidden="1">'Cluster Analysis 4'!$O$5:$O$8</definedName>
    <definedName name="solver_lhs2" localSheetId="0" hidden="1">'Cluster Analysis'!$O$5:$O$9</definedName>
    <definedName name="solver_lhs2" localSheetId="1" hidden="1">'Cluster Analysis 4'!$O$5:$O$8</definedName>
    <definedName name="solver_lhs3" localSheetId="0" hidden="1">'Cluster Analysis'!$O$5:$O$9</definedName>
    <definedName name="solver_lhs3" localSheetId="1" hidden="1">'Cluster Analysis 4'!$O$5:$O$8</definedName>
    <definedName name="solver_lin" localSheetId="0" hidden="1">2</definedName>
    <definedName name="solver_lin" localSheetId="1" hidden="1">2</definedName>
    <definedName name="solver_mip" localSheetId="0" hidden="1">2147483647</definedName>
    <definedName name="solver_mip" localSheetId="1" hidden="1">2147483647</definedName>
    <definedName name="solver_mni" localSheetId="0" hidden="1">30</definedName>
    <definedName name="solver_mni" localSheetId="1" hidden="1">30</definedName>
    <definedName name="solver_mrt" localSheetId="0" hidden="1">0.075</definedName>
    <definedName name="solver_mrt" localSheetId="1" hidden="1">0.075</definedName>
    <definedName name="solver_msl" localSheetId="0" hidden="1">2</definedName>
    <definedName name="solver_msl" localSheetId="1" hidden="1">2</definedName>
    <definedName name="solver_neg" localSheetId="0" hidden="1">1</definedName>
    <definedName name="solver_neg" localSheetId="1" hidden="1">1</definedName>
    <definedName name="solver_nod" localSheetId="0" hidden="1">2147483647</definedName>
    <definedName name="solver_nod" localSheetId="1" hidden="1">2147483647</definedName>
    <definedName name="solver_num" localSheetId="0" hidden="1">3</definedName>
    <definedName name="solver_num" localSheetId="1" hidden="1">3</definedName>
    <definedName name="solver_opt" localSheetId="0" hidden="1">'Cluster Analysis'!$S$12</definedName>
    <definedName name="solver_opt" localSheetId="1" hidden="1">'Cluster Analysis 4'!$S$12</definedName>
    <definedName name="solver_pre" localSheetId="0" hidden="1">0.000001</definedName>
    <definedName name="solver_pre" localSheetId="1" hidden="1">0.000001</definedName>
    <definedName name="solver_rbv" localSheetId="0" hidden="1">1</definedName>
    <definedName name="solver_rbv" localSheetId="1" hidden="1">1</definedName>
    <definedName name="solver_rel1" localSheetId="0" hidden="1">1</definedName>
    <definedName name="solver_rel1" localSheetId="1" hidden="1">1</definedName>
    <definedName name="solver_rel2" localSheetId="0" hidden="1">4</definedName>
    <definedName name="solver_rel2" localSheetId="1" hidden="1">4</definedName>
    <definedName name="solver_rel3" localSheetId="0" hidden="1">3</definedName>
    <definedName name="solver_rel3" localSheetId="1" hidden="1">3</definedName>
    <definedName name="solver_rhs1" localSheetId="0" hidden="1">16</definedName>
    <definedName name="solver_rhs1" localSheetId="1" hidden="1">16</definedName>
    <definedName name="solver_rhs2" localSheetId="0" hidden="1">"integer"</definedName>
    <definedName name="solver_rhs2" localSheetId="1" hidden="1">"integer"</definedName>
    <definedName name="solver_rhs3" localSheetId="0" hidden="1">1</definedName>
    <definedName name="solver_rhs3" localSheetId="1" hidden="1">1</definedName>
    <definedName name="solver_rlx" localSheetId="0" hidden="1">2</definedName>
    <definedName name="solver_rlx" localSheetId="1" hidden="1">1</definedName>
    <definedName name="solver_rsd" localSheetId="0" hidden="1">0</definedName>
    <definedName name="solver_rsd" localSheetId="1" hidden="1">0</definedName>
    <definedName name="solver_scl" localSheetId="0" hidden="1">1</definedName>
    <definedName name="solver_scl" localSheetId="1" hidden="1">2</definedName>
    <definedName name="solver_sho" localSheetId="0" hidden="1">2</definedName>
    <definedName name="solver_sho" localSheetId="1" hidden="1">2</definedName>
    <definedName name="solver_ssz" localSheetId="0" hidden="1">100</definedName>
    <definedName name="solver_ssz" localSheetId="1" hidden="1">100</definedName>
    <definedName name="solver_tim" localSheetId="0" hidden="1">2147483647</definedName>
    <definedName name="solver_tim" localSheetId="1" hidden="1">2147483647</definedName>
    <definedName name="solver_tol" localSheetId="0" hidden="1">0.01</definedName>
    <definedName name="solver_tol" localSheetId="1" hidden="1">0.01</definedName>
    <definedName name="solver_typ" localSheetId="0" hidden="1">2</definedName>
    <definedName name="solver_typ" localSheetId="1" hidden="1">2</definedName>
    <definedName name="solver_val" localSheetId="0" hidden="1">0</definedName>
    <definedName name="solver_val" localSheetId="1" hidden="1">0</definedName>
    <definedName name="solver_ver" localSheetId="0" hidden="1">2</definedName>
    <definedName name="solver_ver" localSheetId="1" hidden="1">2</definedName>
    <definedName name="StLZData" localSheetId="2">#REF!</definedName>
    <definedName name="StLZData">#REF!</definedName>
    <definedName name="TolzData" localSheetId="2">#REF!</definedName>
    <definedName name="TolzData">#REF!</definedName>
    <definedName name="TuczData" localSheetId="2">#REF!</definedName>
    <definedName name="TuczData">#REF!</definedName>
    <definedName name="TulzData" localSheetId="2">#REF!</definedName>
    <definedName name="TulzData">#REF!</definedName>
    <definedName name="twoddistances">[1]matrixnba!$K$66:$AM$94</definedName>
    <definedName name="twodranks">[1]matrixnba!$K$98:$AM$126</definedName>
    <definedName name="VirBzData" localSheetId="2">#REF!</definedName>
    <definedName name="VirBz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6" i="3" l="1"/>
  <c r="Z8" i="3"/>
  <c r="Z6" i="3"/>
  <c r="Q15" i="3"/>
  <c r="Y7" i="3"/>
  <c r="K15" i="3"/>
  <c r="I16" i="3"/>
  <c r="G16" i="3"/>
  <c r="G9" i="3"/>
  <c r="F9" i="3"/>
  <c r="E9" i="3"/>
  <c r="D9" i="3"/>
  <c r="C9" i="3"/>
  <c r="G8" i="3"/>
  <c r="F8" i="3"/>
  <c r="E8" i="3"/>
  <c r="D8" i="3"/>
  <c r="C8" i="3"/>
  <c r="AD7" i="1"/>
  <c r="AD8" i="1"/>
  <c r="AD9" i="1"/>
  <c r="AD10" i="1"/>
  <c r="AD6" i="1"/>
  <c r="AC7" i="1"/>
  <c r="AC8" i="1"/>
  <c r="AC9" i="1"/>
  <c r="AC10" i="1"/>
  <c r="AC6" i="1"/>
  <c r="AB7" i="1"/>
  <c r="AB8" i="1"/>
  <c r="AB9" i="1"/>
  <c r="AB10" i="1"/>
  <c r="AB6" i="1"/>
  <c r="AA7" i="1"/>
  <c r="AA8" i="1"/>
  <c r="AA9" i="1"/>
  <c r="AA10" i="1"/>
  <c r="AA6" i="1"/>
  <c r="Z10" i="1"/>
  <c r="Z6" i="1"/>
  <c r="Z9" i="1"/>
  <c r="Y7" i="1"/>
  <c r="Y6" i="1"/>
  <c r="Y8" i="1"/>
  <c r="Y9" i="1"/>
  <c r="Y10" i="1"/>
  <c r="P5" i="1"/>
  <c r="K16" i="1"/>
  <c r="K17" i="1"/>
  <c r="K18" i="1"/>
  <c r="K19" i="1"/>
  <c r="K20" i="1"/>
  <c r="K21" i="1"/>
  <c r="K22" i="1"/>
  <c r="K23" i="1"/>
  <c r="K24" i="1"/>
  <c r="K25" i="1"/>
  <c r="K26" i="1"/>
  <c r="K27" i="1"/>
  <c r="K28" i="1"/>
  <c r="K29" i="1"/>
  <c r="K30" i="1"/>
  <c r="K15" i="1"/>
  <c r="J15" i="1"/>
  <c r="I15" i="1"/>
  <c r="H16" i="1"/>
  <c r="H17" i="1"/>
  <c r="H18" i="1"/>
  <c r="H19" i="1"/>
  <c r="H20" i="1"/>
  <c r="H21" i="1"/>
  <c r="H22" i="1"/>
  <c r="H23" i="1"/>
  <c r="H24" i="1"/>
  <c r="H25" i="1"/>
  <c r="H26" i="1"/>
  <c r="H27" i="1"/>
  <c r="H28" i="1"/>
  <c r="H29" i="1"/>
  <c r="H30" i="1"/>
  <c r="H15" i="1"/>
  <c r="G16" i="1"/>
  <c r="G17" i="1"/>
  <c r="G18" i="1"/>
  <c r="G19" i="1"/>
  <c r="G20" i="1"/>
  <c r="G21" i="1"/>
  <c r="G22" i="1"/>
  <c r="G23" i="1"/>
  <c r="G24" i="1"/>
  <c r="G25" i="1"/>
  <c r="G26" i="1"/>
  <c r="G27" i="1"/>
  <c r="G28" i="1"/>
  <c r="G29" i="1"/>
  <c r="G30" i="1"/>
  <c r="G15" i="1"/>
  <c r="J30" i="3" l="1"/>
  <c r="S6" i="3" s="1"/>
  <c r="G15" i="3"/>
  <c r="K16" i="3"/>
  <c r="G17" i="3"/>
  <c r="P7" i="3" s="1"/>
  <c r="K18" i="3"/>
  <c r="G19" i="3"/>
  <c r="K20" i="3"/>
  <c r="T5" i="3" s="1"/>
  <c r="G21" i="3"/>
  <c r="K22" i="3"/>
  <c r="G23" i="3"/>
  <c r="K24" i="3"/>
  <c r="G25" i="3"/>
  <c r="K26" i="3"/>
  <c r="T8" i="3" s="1"/>
  <c r="G27" i="3"/>
  <c r="K28" i="3"/>
  <c r="G29" i="3"/>
  <c r="K30" i="3"/>
  <c r="T6" i="3" s="1"/>
  <c r="H15" i="3"/>
  <c r="H17" i="3"/>
  <c r="Q7" i="3" s="1"/>
  <c r="H19" i="3"/>
  <c r="H21" i="3"/>
  <c r="H23" i="3"/>
  <c r="H25" i="3"/>
  <c r="H27" i="3"/>
  <c r="H29" i="3"/>
  <c r="I15" i="3"/>
  <c r="I17" i="3"/>
  <c r="R7" i="3" s="1"/>
  <c r="I19" i="3"/>
  <c r="I21" i="3"/>
  <c r="I23" i="3"/>
  <c r="I25" i="3"/>
  <c r="I27" i="3"/>
  <c r="I29" i="3"/>
  <c r="J15" i="3"/>
  <c r="J17" i="3"/>
  <c r="S7" i="3" s="1"/>
  <c r="J19" i="3"/>
  <c r="J21" i="3"/>
  <c r="J23" i="3"/>
  <c r="J25" i="3"/>
  <c r="J27" i="3"/>
  <c r="J29" i="3"/>
  <c r="K17" i="3"/>
  <c r="T7" i="3" s="1"/>
  <c r="G18" i="3"/>
  <c r="K19" i="3"/>
  <c r="G20" i="3"/>
  <c r="P5" i="3" s="1"/>
  <c r="K21" i="3"/>
  <c r="G22" i="3"/>
  <c r="K23" i="3"/>
  <c r="G24" i="3"/>
  <c r="K25" i="3"/>
  <c r="G26" i="3"/>
  <c r="P8" i="3" s="1"/>
  <c r="K27" i="3"/>
  <c r="G28" i="3"/>
  <c r="K29" i="3"/>
  <c r="G30" i="3"/>
  <c r="P6" i="3" s="1"/>
  <c r="H16" i="3"/>
  <c r="H18" i="3"/>
  <c r="H20" i="3"/>
  <c r="Q5" i="3" s="1"/>
  <c r="H22" i="3"/>
  <c r="H24" i="3"/>
  <c r="H26" i="3"/>
  <c r="Q8" i="3" s="1"/>
  <c r="H28" i="3"/>
  <c r="H30" i="3"/>
  <c r="Q6" i="3" s="1"/>
  <c r="I18" i="3"/>
  <c r="I20" i="3"/>
  <c r="R5" i="3" s="1"/>
  <c r="I22" i="3"/>
  <c r="I24" i="3"/>
  <c r="I26" i="3"/>
  <c r="R8" i="3" s="1"/>
  <c r="I28" i="3"/>
  <c r="I30" i="3"/>
  <c r="R6" i="3" s="1"/>
  <c r="J16" i="3"/>
  <c r="J18" i="3"/>
  <c r="J20" i="3"/>
  <c r="S5" i="3" s="1"/>
  <c r="J22" i="3"/>
  <c r="J24" i="3"/>
  <c r="J26" i="3"/>
  <c r="S8" i="3" s="1"/>
  <c r="J28" i="3"/>
  <c r="M15" i="3" l="1"/>
  <c r="N29" i="3"/>
  <c r="N27" i="3"/>
  <c r="N25" i="3"/>
  <c r="N23" i="3"/>
  <c r="N21" i="3"/>
  <c r="N19" i="3"/>
  <c r="N17" i="3"/>
  <c r="N15" i="3"/>
  <c r="N30" i="3"/>
  <c r="N28" i="3"/>
  <c r="N26" i="3"/>
  <c r="N24" i="3"/>
  <c r="N22" i="3"/>
  <c r="N20" i="3"/>
  <c r="N18" i="3"/>
  <c r="N16" i="3"/>
  <c r="L29" i="3"/>
  <c r="L27" i="3"/>
  <c r="L25" i="3"/>
  <c r="L23" i="3"/>
  <c r="L21" i="3"/>
  <c r="L19" i="3"/>
  <c r="L17" i="3"/>
  <c r="L15" i="3"/>
  <c r="L30" i="3"/>
  <c r="L28" i="3"/>
  <c r="L26" i="3"/>
  <c r="L24" i="3"/>
  <c r="L22" i="3"/>
  <c r="L20" i="3"/>
  <c r="L18" i="3"/>
  <c r="L16" i="3"/>
  <c r="O30" i="3"/>
  <c r="O28" i="3"/>
  <c r="O26" i="3"/>
  <c r="O24" i="3"/>
  <c r="O22" i="3"/>
  <c r="O20" i="3"/>
  <c r="O18" i="3"/>
  <c r="O16" i="3"/>
  <c r="O29" i="3"/>
  <c r="O27" i="3"/>
  <c r="O25" i="3"/>
  <c r="O23" i="3"/>
  <c r="O21" i="3"/>
  <c r="O19" i="3"/>
  <c r="O17" i="3"/>
  <c r="O15" i="3"/>
  <c r="M29" i="3"/>
  <c r="M27" i="3"/>
  <c r="M25" i="3"/>
  <c r="M23" i="3"/>
  <c r="M21" i="3"/>
  <c r="M19" i="3"/>
  <c r="M17" i="3"/>
  <c r="M30" i="3"/>
  <c r="M28" i="3"/>
  <c r="M26" i="3"/>
  <c r="M24" i="3"/>
  <c r="M22" i="3"/>
  <c r="M20" i="3"/>
  <c r="M18" i="3"/>
  <c r="M16" i="3"/>
  <c r="P15" i="3" l="1"/>
  <c r="P18" i="3"/>
  <c r="Q18" i="3" s="1"/>
  <c r="P24" i="3"/>
  <c r="Q24" i="3" s="1"/>
  <c r="P23" i="3"/>
  <c r="Q23" i="3" s="1"/>
  <c r="P19" i="3"/>
  <c r="Q19" i="3" s="1"/>
  <c r="P22" i="3"/>
  <c r="Q22" i="3" s="1"/>
  <c r="P26" i="3"/>
  <c r="Q26" i="3" s="1"/>
  <c r="P25" i="3"/>
  <c r="Q25" i="3" s="1"/>
  <c r="P16" i="3"/>
  <c r="Q16" i="3" s="1"/>
  <c r="P21" i="3"/>
  <c r="Q21" i="3" s="1"/>
  <c r="P28" i="3"/>
  <c r="Q28" i="3" s="1"/>
  <c r="P27" i="3"/>
  <c r="Q27" i="3" s="1"/>
  <c r="P17" i="3"/>
  <c r="Q17" i="3" s="1"/>
  <c r="P20" i="3"/>
  <c r="Q20" i="3" s="1"/>
  <c r="P30" i="3"/>
  <c r="Q30" i="3" s="1"/>
  <c r="P29" i="3"/>
  <c r="Q29" i="3" s="1"/>
  <c r="S12" i="3" l="1"/>
  <c r="AC9" i="3" l="1"/>
  <c r="AC8" i="3"/>
  <c r="AC7" i="3"/>
  <c r="AA7" i="3"/>
  <c r="AB9" i="3"/>
  <c r="AB8" i="3"/>
  <c r="AB7" i="3"/>
  <c r="AA8" i="3"/>
  <c r="AA9" i="3"/>
  <c r="Z9" i="3"/>
  <c r="AB6" i="3"/>
  <c r="AA6" i="3"/>
  <c r="Y9" i="3"/>
  <c r="AD9" i="3"/>
  <c r="AD8" i="3"/>
  <c r="AD7" i="3"/>
  <c r="AD6" i="3"/>
  <c r="Z7" i="3"/>
  <c r="AC6" i="3"/>
  <c r="Y8" i="3"/>
  <c r="T9" i="1" l="1"/>
  <c r="T6" i="1"/>
  <c r="Q6" i="1"/>
  <c r="P6" i="1"/>
  <c r="Q7" i="1"/>
  <c r="T5" i="1"/>
  <c r="S6" i="1"/>
  <c r="T8" i="1"/>
  <c r="S9" i="1"/>
  <c r="I16" i="1"/>
  <c r="I17" i="1"/>
  <c r="I18" i="1"/>
  <c r="I19" i="1"/>
  <c r="I20" i="1"/>
  <c r="I21" i="1"/>
  <c r="I22" i="1"/>
  <c r="I23" i="1"/>
  <c r="I24" i="1"/>
  <c r="I25" i="1"/>
  <c r="I26" i="1"/>
  <c r="I27" i="1"/>
  <c r="I28" i="1"/>
  <c r="I29" i="1"/>
  <c r="I30" i="1"/>
  <c r="S8" i="1" l="1"/>
  <c r="P7" i="1"/>
  <c r="P8" i="1"/>
  <c r="T7" i="1"/>
  <c r="R8" i="1"/>
  <c r="Q8" i="1"/>
  <c r="S7" i="1"/>
  <c r="P9" i="1"/>
  <c r="R7" i="1"/>
  <c r="Q9" i="1"/>
  <c r="R9" i="1"/>
  <c r="R6" i="1"/>
  <c r="M15" i="1" s="1"/>
  <c r="S5" i="1"/>
  <c r="R5" i="1"/>
  <c r="Q5" i="1"/>
  <c r="M19" i="1" l="1"/>
  <c r="M28" i="1"/>
  <c r="M26" i="1"/>
  <c r="M16" i="1"/>
  <c r="M20" i="1"/>
  <c r="M23" i="1"/>
  <c r="M17" i="1"/>
  <c r="M24" i="1"/>
  <c r="M27" i="1"/>
  <c r="M30" i="1"/>
  <c r="M22" i="1"/>
  <c r="M18" i="1"/>
  <c r="M29" i="1"/>
  <c r="N20" i="1"/>
  <c r="N28" i="1"/>
  <c r="N21" i="1"/>
  <c r="N29" i="1"/>
  <c r="N22" i="1"/>
  <c r="N30" i="1"/>
  <c r="N23" i="1"/>
  <c r="N16" i="1"/>
  <c r="N24" i="1"/>
  <c r="N17" i="1"/>
  <c r="N18" i="1"/>
  <c r="N27" i="1"/>
  <c r="N25" i="1"/>
  <c r="N26" i="1"/>
  <c r="N19" i="1"/>
  <c r="P15" i="1"/>
  <c r="L15" i="1"/>
  <c r="L22" i="1"/>
  <c r="L30" i="1"/>
  <c r="L23" i="1"/>
  <c r="L16" i="1"/>
  <c r="L24" i="1"/>
  <c r="L17" i="1"/>
  <c r="L18" i="1"/>
  <c r="L27" i="1"/>
  <c r="L28" i="1"/>
  <c r="L21" i="1"/>
  <c r="L26" i="1"/>
  <c r="L19" i="1"/>
  <c r="L20" i="1"/>
  <c r="L29" i="1"/>
  <c r="L25" i="1"/>
  <c r="O19" i="1"/>
  <c r="O27" i="1"/>
  <c r="O28" i="1"/>
  <c r="O21" i="1"/>
  <c r="O22" i="1"/>
  <c r="O30" i="1"/>
  <c r="O15" i="1"/>
  <c r="O23" i="1"/>
  <c r="O16" i="1"/>
  <c r="O24" i="1"/>
  <c r="O26" i="1"/>
  <c r="O20" i="1"/>
  <c r="O17" i="1"/>
  <c r="O18" i="1"/>
  <c r="O29" i="1"/>
  <c r="O25" i="1"/>
  <c r="M25" i="1"/>
  <c r="M21" i="1"/>
  <c r="N15" i="1"/>
  <c r="P18" i="1"/>
  <c r="P19" i="1"/>
  <c r="P23" i="1"/>
  <c r="P17" i="1"/>
  <c r="P22" i="1"/>
  <c r="P24" i="1"/>
  <c r="P30" i="1"/>
  <c r="P25" i="1"/>
  <c r="P29" i="1"/>
  <c r="P27" i="1"/>
  <c r="P21" i="1"/>
  <c r="P26" i="1"/>
  <c r="P20" i="1"/>
  <c r="P28" i="1"/>
  <c r="P16" i="1"/>
  <c r="Q26" i="1" l="1"/>
  <c r="R26" i="1" s="1"/>
  <c r="Q19" i="1"/>
  <c r="R19" i="1" s="1"/>
  <c r="Q23" i="1"/>
  <c r="R23" i="1" s="1"/>
  <c r="Q21" i="1"/>
  <c r="R21" i="1" s="1"/>
  <c r="Q27" i="1"/>
  <c r="R27" i="1" s="1"/>
  <c r="Q25" i="1"/>
  <c r="R25" i="1" s="1"/>
  <c r="Q18" i="1"/>
  <c r="R18" i="1" s="1"/>
  <c r="Q28" i="1"/>
  <c r="R28" i="1" s="1"/>
  <c r="Q29" i="1"/>
  <c r="R29" i="1" s="1"/>
  <c r="Q17" i="1"/>
  <c r="R17" i="1" s="1"/>
  <c r="Q16" i="1"/>
  <c r="R16" i="1" s="1"/>
  <c r="Q30" i="1"/>
  <c r="R30" i="1" s="1"/>
  <c r="Q22" i="1"/>
  <c r="R22" i="1" s="1"/>
  <c r="Q15" i="1"/>
  <c r="Q20" i="1"/>
  <c r="R20" i="1" s="1"/>
  <c r="Q24" i="1"/>
  <c r="R24" i="1" s="1"/>
  <c r="D9" i="1"/>
  <c r="E9" i="1"/>
  <c r="F9" i="1"/>
  <c r="G9" i="1"/>
  <c r="C9" i="1"/>
  <c r="G8" i="1"/>
  <c r="F8" i="1"/>
  <c r="E8" i="1"/>
  <c r="C8" i="1"/>
  <c r="D8" i="1"/>
  <c r="S12" i="1" l="1"/>
  <c r="R15" i="1"/>
  <c r="J16" i="1"/>
  <c r="J23" i="1"/>
  <c r="J24" i="1"/>
  <c r="J30" i="1"/>
  <c r="J22" i="1"/>
  <c r="J28" i="1"/>
  <c r="J20" i="1"/>
  <c r="J27" i="1"/>
  <c r="J19" i="1"/>
  <c r="J26" i="1"/>
  <c r="J18" i="1"/>
  <c r="J25" i="1"/>
  <c r="J17" i="1"/>
  <c r="J29" i="1"/>
  <c r="J21" i="1"/>
  <c r="Z8" i="1" l="1"/>
  <c r="Z7" i="1"/>
  <c r="I52" i="2"/>
  <c r="I55" i="2"/>
  <c r="K52" i="2"/>
  <c r="N55" i="2"/>
  <c r="Q52" i="2"/>
  <c r="I50" i="2"/>
  <c r="P53" i="2"/>
  <c r="I53" i="2"/>
  <c r="N48" i="2"/>
  <c r="I46" i="2"/>
  <c r="J50" i="2"/>
  <c r="O51" i="2"/>
  <c r="R45" i="2"/>
  <c r="Q49" i="2"/>
  <c r="I51" i="2"/>
  <c r="M55" i="2"/>
  <c r="W46" i="2"/>
  <c r="Q43" i="2"/>
  <c r="L52" i="2"/>
  <c r="U52" i="2"/>
  <c r="L49" i="2"/>
  <c r="O42" i="2"/>
  <c r="U46" i="2"/>
  <c r="W44" i="2"/>
  <c r="L51" i="2"/>
  <c r="R47" i="2"/>
  <c r="P48" i="2"/>
  <c r="S48" i="2"/>
  <c r="P43" i="2"/>
  <c r="J52" i="2"/>
  <c r="Q40" i="2"/>
  <c r="M54" i="2"/>
  <c r="Q53" i="2"/>
  <c r="K50" i="2"/>
  <c r="W41" i="2"/>
  <c r="P42" i="2"/>
  <c r="U51" i="2"/>
  <c r="R54" i="2"/>
  <c r="O41" i="2"/>
  <c r="Q45" i="2"/>
  <c r="M40" i="2"/>
  <c r="P47" i="2"/>
  <c r="N40" i="2"/>
  <c r="V48" i="2"/>
  <c r="N53" i="2"/>
  <c r="Q46" i="2"/>
  <c r="I42" i="2"/>
  <c r="N41" i="2"/>
  <c r="S41" i="2"/>
  <c r="O48" i="2"/>
  <c r="R53" i="2"/>
  <c r="O49" i="2"/>
  <c r="U53" i="2"/>
  <c r="O55" i="2"/>
  <c r="Q42" i="2"/>
  <c r="U47" i="2"/>
  <c r="P50" i="2"/>
  <c r="O54" i="2"/>
  <c r="U54" i="2"/>
  <c r="O40" i="2"/>
  <c r="V41" i="2"/>
  <c r="O45" i="2"/>
  <c r="R51" i="2"/>
  <c r="Q51" i="2"/>
  <c r="M50" i="2"/>
  <c r="N50" i="2"/>
  <c r="O44" i="2"/>
  <c r="S50" i="2"/>
  <c r="N45" i="2"/>
  <c r="R46" i="2"/>
  <c r="R55" i="2"/>
  <c r="U48" i="2"/>
  <c r="X42" i="2"/>
  <c r="W52" i="2"/>
  <c r="Q47" i="2"/>
  <c r="S40" i="2"/>
  <c r="W45" i="2"/>
  <c r="L55" i="2"/>
  <c r="N49" i="2"/>
  <c r="R44" i="2"/>
  <c r="I44" i="2"/>
  <c r="X46" i="2"/>
  <c r="W42" i="2"/>
  <c r="S51" i="2"/>
  <c r="U41" i="2"/>
  <c r="M42" i="2"/>
  <c r="S55" i="2"/>
  <c r="P44" i="2"/>
  <c r="Q44" i="2"/>
  <c r="M45" i="2"/>
  <c r="X44" i="2"/>
  <c r="U49" i="2"/>
  <c r="K44" i="2"/>
  <c r="L44" i="2"/>
  <c r="X52" i="2"/>
  <c r="V40" i="2"/>
  <c r="S54" i="2"/>
  <c r="L45" i="2"/>
  <c r="W55" i="2"/>
  <c r="J46" i="2"/>
  <c r="X54" i="2"/>
  <c r="K55" i="2"/>
  <c r="M44" i="2"/>
  <c r="K45" i="2"/>
  <c r="X48" i="2"/>
  <c r="T50" i="2"/>
  <c r="S45" i="2"/>
  <c r="W47" i="2"/>
  <c r="P40" i="2"/>
  <c r="R43" i="2"/>
  <c r="K43" i="2"/>
  <c r="R49" i="2"/>
  <c r="T52" i="2"/>
  <c r="V43" i="2"/>
  <c r="N43" i="2"/>
  <c r="X43" i="2"/>
  <c r="W50" i="2"/>
  <c r="X47" i="2"/>
  <c r="I45" i="2"/>
  <c r="O47" i="2"/>
  <c r="K42" i="2"/>
  <c r="W43" i="2"/>
  <c r="M52" i="2"/>
  <c r="T48" i="2"/>
  <c r="X45" i="2"/>
  <c r="J44" i="2"/>
  <c r="P52" i="2"/>
  <c r="I49" i="2"/>
  <c r="W51" i="2"/>
  <c r="T54" i="2"/>
  <c r="J53" i="2"/>
  <c r="V54" i="2"/>
  <c r="T44" i="2"/>
  <c r="L53" i="2"/>
  <c r="T49" i="2"/>
  <c r="V44" i="2"/>
  <c r="T41" i="2"/>
  <c r="Q50" i="2"/>
  <c r="W49" i="2"/>
  <c r="I54" i="2"/>
  <c r="K53" i="2"/>
  <c r="L50" i="2"/>
  <c r="U50" i="2"/>
  <c r="R52" i="2"/>
  <c r="T53" i="2"/>
  <c r="W53" i="2"/>
  <c r="P45" i="2"/>
  <c r="S53" i="2"/>
  <c r="K54" i="2"/>
  <c r="W48" i="2"/>
  <c r="J40" i="2"/>
  <c r="X51" i="2"/>
  <c r="J45" i="2"/>
  <c r="I43" i="2"/>
  <c r="W54" i="2"/>
  <c r="M47" i="2"/>
  <c r="J49" i="2"/>
  <c r="K40" i="2"/>
  <c r="L42" i="2"/>
  <c r="P46" i="2"/>
  <c r="S52" i="2"/>
  <c r="J47" i="2"/>
  <c r="T51" i="2"/>
  <c r="N42" i="2"/>
  <c r="K51" i="2"/>
  <c r="P49" i="2"/>
  <c r="V51" i="2"/>
  <c r="L46" i="2"/>
  <c r="W40" i="2"/>
  <c r="R50" i="2"/>
  <c r="U44" i="2"/>
  <c r="J43" i="2"/>
  <c r="K41" i="2"/>
  <c r="K47" i="2"/>
  <c r="S46" i="2"/>
  <c r="N51" i="2"/>
  <c r="P54" i="2"/>
  <c r="M51" i="2"/>
  <c r="K49" i="2"/>
  <c r="N47" i="2"/>
  <c r="V42" i="2"/>
  <c r="S49" i="2"/>
  <c r="T46" i="2"/>
  <c r="O53" i="2"/>
  <c r="T43" i="2"/>
  <c r="L41" i="2"/>
  <c r="I47" i="2"/>
  <c r="O52" i="2"/>
  <c r="N54" i="2"/>
  <c r="S43" i="2"/>
  <c r="R40" i="2"/>
  <c r="X40" i="2"/>
  <c r="Q54" i="2"/>
  <c r="V50" i="2"/>
  <c r="J51" i="2"/>
  <c r="N46" i="2"/>
  <c r="O50" i="2"/>
  <c r="X49" i="2"/>
  <c r="T42" i="2"/>
  <c r="K46" i="2"/>
  <c r="X55" i="2"/>
  <c r="R41" i="2"/>
  <c r="K48" i="2"/>
  <c r="L54" i="2"/>
  <c r="U55" i="2"/>
  <c r="M53" i="2"/>
  <c r="V46" i="2"/>
  <c r="V53" i="2"/>
  <c r="U45" i="2"/>
  <c r="T47" i="2"/>
  <c r="Q41" i="2"/>
  <c r="M48" i="2"/>
  <c r="R42" i="2"/>
  <c r="T45" i="2"/>
  <c r="Q55" i="2"/>
  <c r="V45" i="2"/>
  <c r="J42" i="2"/>
  <c r="M41" i="2"/>
  <c r="X50" i="2"/>
  <c r="N52" i="2"/>
  <c r="V52" i="2"/>
  <c r="S44" i="2"/>
  <c r="J54" i="2"/>
  <c r="S42" i="2"/>
  <c r="V55" i="2"/>
  <c r="J41" i="2"/>
  <c r="L40" i="2"/>
  <c r="X41" i="2"/>
  <c r="Q48" i="2"/>
  <c r="L47" i="2"/>
  <c r="X53" i="2"/>
  <c r="U42" i="2"/>
  <c r="I41" i="2"/>
  <c r="P51" i="2"/>
  <c r="T40" i="2"/>
  <c r="U43" i="2"/>
  <c r="M49" i="2"/>
  <c r="S47" i="2"/>
  <c r="T55" i="2"/>
  <c r="V47" i="2"/>
  <c r="O46" i="2"/>
  <c r="L43" i="2"/>
  <c r="M46" i="2"/>
  <c r="L48" i="2"/>
  <c r="P41" i="2"/>
  <c r="M43" i="2"/>
  <c r="U40" i="2"/>
  <c r="N44" i="2"/>
  <c r="J55" i="2"/>
  <c r="P55" i="2"/>
  <c r="J48" i="2"/>
  <c r="I48" i="2"/>
  <c r="O43" i="2"/>
  <c r="R48" i="2"/>
  <c r="I40" i="2"/>
  <c r="V49" i="2"/>
</calcChain>
</file>

<file path=xl/sharedStrings.xml><?xml version="1.0" encoding="utf-8"?>
<sst xmlns="http://schemas.openxmlformats.org/spreadsheetml/2006/main" count="110" uniqueCount="41">
  <si>
    <t>IMPORTANCE FACTORS</t>
  </si>
  <si>
    <t>Customer</t>
  </si>
  <si>
    <t>Cost</t>
  </si>
  <si>
    <t>Flight Availability</t>
  </si>
  <si>
    <t>Liklihood of delays</t>
  </si>
  <si>
    <t>Loyalty Program</t>
  </si>
  <si>
    <t>Tiered Seating</t>
  </si>
  <si>
    <t xml:space="preserve">The following data is ratings of importance of features of airline customers.  '1' represents 'Most Important' while '5' represents 'Least Important'.  </t>
  </si>
  <si>
    <t>a.  Create a correlation table based on the data below and change the diagonal scores to 1000.</t>
  </si>
  <si>
    <t>the brand ranking distances.</t>
  </si>
  <si>
    <t>Use this information to conduct a MDS analysis by doing the following:</t>
  </si>
  <si>
    <t xml:space="preserve">c.  Use the solution to create a perceptual map illustrating the association of customers based on </t>
  </si>
  <si>
    <t>in the two-dimensional space closely matches the actual ratings of the distances.</t>
  </si>
  <si>
    <t>d.  Identify clusters on the perceptual map.</t>
  </si>
  <si>
    <t xml:space="preserve">e.  Provide a description of each segment and compare to the segments identified in the cluster analysis. </t>
  </si>
  <si>
    <t xml:space="preserve">     Provide a description of each cluster and a recommendation of how an airline should market to each segment.  (10 points)</t>
  </si>
  <si>
    <r>
      <t xml:space="preserve">b.  Use Solver to find the two-dimensional locations of the </t>
    </r>
    <r>
      <rPr>
        <u/>
        <sz val="11"/>
        <color theme="1"/>
        <rFont val="Calibri"/>
        <family val="2"/>
        <scheme val="minor"/>
      </rPr>
      <t>customers</t>
    </r>
    <r>
      <rPr>
        <b/>
        <sz val="11"/>
        <color theme="1"/>
        <rFont val="Calibri"/>
        <family val="2"/>
        <scheme val="minor"/>
      </rPr>
      <t xml:space="preserve"> so that the rating of the distance</t>
    </r>
  </si>
  <si>
    <t xml:space="preserve">     Do a four cluster analysis and determine which should be used and why. (5 points)</t>
  </si>
  <si>
    <t xml:space="preserve">     Use this information to conduct a cluster analysis using five clusters.  (15 points)</t>
  </si>
  <si>
    <t>Mean</t>
  </si>
  <si>
    <t>Std dev</t>
  </si>
  <si>
    <t>Cluster</t>
  </si>
  <si>
    <t xml:space="preserve">Customer </t>
  </si>
  <si>
    <t>Sum of Diff. Cluster 1</t>
  </si>
  <si>
    <t>Sum of Diff. Cluster 2</t>
  </si>
  <si>
    <t>Sum of Diff. Cluster 3</t>
  </si>
  <si>
    <t>Sum of Diff. Cluster 4</t>
  </si>
  <si>
    <t>Sum of Diff. Cluster 5</t>
  </si>
  <si>
    <t xml:space="preserve">Min Distance </t>
  </si>
  <si>
    <t>Assign</t>
  </si>
  <si>
    <t>Sum Dis^</t>
  </si>
  <si>
    <t xml:space="preserve">Total Customer </t>
  </si>
  <si>
    <t xml:space="preserve">Summay of Result </t>
  </si>
  <si>
    <t xml:space="preserve"> Z Cost</t>
  </si>
  <si>
    <t>Z Flight Availability</t>
  </si>
  <si>
    <t>Z Liklihood of delays</t>
  </si>
  <si>
    <t>Z Loyalty Program</t>
  </si>
  <si>
    <t>Z Tiered Seating</t>
  </si>
  <si>
    <t>X</t>
  </si>
  <si>
    <t>Y</t>
  </si>
  <si>
    <t>Correlation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</si>
</sst>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8" x14ac:knownFonts="1">
    <font>
      <sz val="11"/>
      <color theme="1"/>
      <name val="Calibri"/>
      <family val="2"/>
      <scheme val="minor"/>
    </font>
    <font>
      <b/>
      <sz val="11"/>
      <color theme="1"/>
      <name val="Calibri"/>
      <family val="2"/>
      <scheme val="minor"/>
    </font>
    <font>
      <b/>
      <sz val="10"/>
      <color indexed="21"/>
      <name val="Arial"/>
      <family val="2"/>
    </font>
    <font>
      <u/>
      <sz val="11"/>
      <color theme="1"/>
      <name val="Calibri"/>
      <family val="2"/>
      <scheme val="minor"/>
    </font>
    <font>
      <sz val="8"/>
      <name val="Calibri"/>
      <family val="2"/>
      <scheme val="minor"/>
    </font>
    <font>
      <b/>
      <sz val="10"/>
      <color rgb="FF008080"/>
      <name val="Arial"/>
      <family val="2"/>
    </font>
    <font>
      <sz val="11"/>
      <color rgb="FF000000"/>
      <name val="Calibri"/>
      <family val="2"/>
      <scheme val="minor"/>
    </font>
    <font>
      <b/>
      <sz val="11"/>
      <color rgb="FF000000"/>
      <name val="Calibri"/>
      <family val="2"/>
      <scheme val="minor"/>
    </font>
  </fonts>
  <fills count="11">
    <fill>
      <patternFill patternType="none"/>
    </fill>
    <fill>
      <patternFill patternType="gray125"/>
    </fill>
    <fill>
      <patternFill patternType="solid">
        <fgColor indexed="43"/>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BDD7EE"/>
        <bgColor rgb="FF000000"/>
      </patternFill>
    </fill>
    <fill>
      <patternFill patternType="solid">
        <fgColor theme="4" tint="0.39997558519241921"/>
        <bgColor indexed="64"/>
      </patternFill>
    </fill>
    <fill>
      <patternFill patternType="solid">
        <fgColor rgb="FFFFC000"/>
        <bgColor rgb="FF000000"/>
      </patternFill>
    </fill>
    <fill>
      <patternFill patternType="solid">
        <fgColor theme="5" tint="0.39997558519241921"/>
        <bgColor indexed="64"/>
      </patternFill>
    </fill>
    <fill>
      <patternFill patternType="solid">
        <fgColor theme="5" tint="0.39997558519241921"/>
        <bgColor rgb="FF000000"/>
      </patternFill>
    </fill>
    <fill>
      <patternFill patternType="solid">
        <fgColor theme="4" tint="0.39997558519241921"/>
        <bgColor rgb="FF000000"/>
      </patternFill>
    </fill>
  </fills>
  <borders count="11">
    <border>
      <left/>
      <right/>
      <top/>
      <bottom/>
      <diagonal/>
    </border>
    <border>
      <left/>
      <right/>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37">
    <xf numFmtId="0" fontId="0" fillId="0" borderId="0" xfId="0"/>
    <xf numFmtId="0" fontId="1" fillId="0" borderId="0" xfId="0" applyFont="1"/>
    <xf numFmtId="164" fontId="2" fillId="2" borderId="2" xfId="0" applyNumberFormat="1" applyFont="1" applyFill="1" applyBorder="1" applyAlignment="1">
      <alignment horizontal="center" vertical="center" wrapText="1"/>
    </xf>
    <xf numFmtId="0" fontId="0" fillId="0" borderId="0" xfId="0" applyAlignment="1">
      <alignment horizontal="center"/>
    </xf>
    <xf numFmtId="1" fontId="0" fillId="0" borderId="0" xfId="0" applyNumberFormat="1" applyAlignment="1">
      <alignment horizontal="center"/>
    </xf>
    <xf numFmtId="0" fontId="1" fillId="0" borderId="0" xfId="0" applyFont="1" applyAlignment="1">
      <alignment horizontal="left" indent="1"/>
    </xf>
    <xf numFmtId="0" fontId="1" fillId="0" borderId="0" xfId="0" applyFont="1" applyAlignment="1">
      <alignment horizontal="left" indent="3"/>
    </xf>
    <xf numFmtId="0" fontId="1" fillId="0" borderId="1" xfId="0" applyFont="1" applyBorder="1" applyAlignment="1">
      <alignment horizontal="center"/>
    </xf>
    <xf numFmtId="1" fontId="0" fillId="0" borderId="0" xfId="0" applyNumberFormat="1"/>
    <xf numFmtId="164" fontId="2" fillId="3" borderId="3" xfId="0" applyNumberFormat="1" applyFont="1" applyFill="1" applyBorder="1" applyAlignment="1">
      <alignment horizontal="center" vertical="center" wrapText="1"/>
    </xf>
    <xf numFmtId="164" fontId="2" fillId="3" borderId="2" xfId="0" applyNumberFormat="1" applyFont="1" applyFill="1" applyBorder="1" applyAlignment="1">
      <alignment horizontal="center" vertical="center" wrapText="1"/>
    </xf>
    <xf numFmtId="164" fontId="2" fillId="3" borderId="4" xfId="0" applyNumberFormat="1" applyFont="1" applyFill="1" applyBorder="1" applyAlignment="1">
      <alignment horizontal="center" vertical="center" wrapText="1"/>
    </xf>
    <xf numFmtId="2" fontId="0" fillId="0" borderId="0" xfId="0" applyNumberFormat="1"/>
    <xf numFmtId="164" fontId="2" fillId="3" borderId="6" xfId="0" applyNumberFormat="1" applyFont="1" applyFill="1" applyBorder="1" applyAlignment="1">
      <alignment horizontal="center" vertical="center" wrapText="1"/>
    </xf>
    <xf numFmtId="164" fontId="2" fillId="3" borderId="7" xfId="0" applyNumberFormat="1" applyFont="1" applyFill="1" applyBorder="1" applyAlignment="1">
      <alignment horizontal="center" vertical="center" wrapText="1"/>
    </xf>
    <xf numFmtId="0" fontId="0" fillId="4" borderId="0" xfId="0" applyFill="1"/>
    <xf numFmtId="2" fontId="0" fillId="4" borderId="0" xfId="0" applyNumberFormat="1" applyFill="1"/>
    <xf numFmtId="164" fontId="5" fillId="5" borderId="2" xfId="0" applyNumberFormat="1" applyFont="1" applyFill="1" applyBorder="1" applyAlignment="1">
      <alignment horizontal="center" vertical="center" wrapText="1"/>
    </xf>
    <xf numFmtId="0" fontId="0" fillId="3" borderId="0" xfId="0" applyFill="1"/>
    <xf numFmtId="0" fontId="0" fillId="6" borderId="0" xfId="0" applyFill="1" applyAlignment="1">
      <alignment horizontal="center"/>
    </xf>
    <xf numFmtId="0" fontId="0" fillId="6" borderId="0" xfId="0" applyFill="1"/>
    <xf numFmtId="0" fontId="6" fillId="0" borderId="0" xfId="0" applyFont="1"/>
    <xf numFmtId="0" fontId="6" fillId="0" borderId="10" xfId="0" applyFont="1" applyBorder="1"/>
    <xf numFmtId="0" fontId="6" fillId="7" borderId="0" xfId="0" applyFont="1" applyFill="1"/>
    <xf numFmtId="0" fontId="7" fillId="0" borderId="5" xfId="0" applyFont="1" applyBorder="1"/>
    <xf numFmtId="0" fontId="7" fillId="0" borderId="8" xfId="0" applyFont="1" applyBorder="1" applyAlignment="1">
      <alignment horizontal="center"/>
    </xf>
    <xf numFmtId="0" fontId="7" fillId="0" borderId="9" xfId="0" applyFont="1" applyBorder="1" applyAlignment="1">
      <alignment horizontal="center"/>
    </xf>
    <xf numFmtId="0" fontId="6" fillId="0" borderId="10" xfId="0" applyFont="1" applyBorder="1" applyAlignment="1">
      <alignment horizontal="center"/>
    </xf>
    <xf numFmtId="0" fontId="0" fillId="6" borderId="5" xfId="0" applyFill="1" applyBorder="1"/>
    <xf numFmtId="0" fontId="1" fillId="6" borderId="5" xfId="0" applyFont="1" applyFill="1" applyBorder="1"/>
    <xf numFmtId="0" fontId="0" fillId="8" borderId="5" xfId="0" applyFill="1" applyBorder="1"/>
    <xf numFmtId="0" fontId="1" fillId="8" borderId="5" xfId="0" applyFont="1" applyFill="1" applyBorder="1"/>
    <xf numFmtId="0" fontId="6" fillId="8" borderId="5" xfId="0" applyFont="1" applyFill="1" applyBorder="1"/>
    <xf numFmtId="0" fontId="7" fillId="9" borderId="8" xfId="0" applyFont="1" applyFill="1" applyBorder="1"/>
    <xf numFmtId="0" fontId="7" fillId="10" borderId="9" xfId="0" applyFont="1" applyFill="1" applyBorder="1"/>
    <xf numFmtId="0" fontId="6" fillId="6" borderId="10" xfId="0" applyFont="1" applyFill="1" applyBorder="1"/>
    <xf numFmtId="0" fontId="6" fillId="6"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Customer</a:t>
            </a:r>
            <a:r>
              <a:rPr lang="en-US" b="1" u="sng" baseline="0"/>
              <a:t> Perceptual Map</a:t>
            </a:r>
            <a:endParaRPr lang="en-US" b="1" u="sng"/>
          </a:p>
        </c:rich>
      </c:tx>
      <c:layout>
        <c:manualLayout>
          <c:xMode val="edge"/>
          <c:yMode val="edge"/>
          <c:x val="0.37031526641694062"/>
          <c:y val="3.7940921570996787E-2"/>
        </c:manualLayout>
      </c:layout>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'[3]MDS Analysis'!$C$90</c:f>
              <c:strCache>
                <c:ptCount val="1"/>
                <c:pt idx="0">
                  <c:v>Y</c:v>
                </c:pt>
              </c:strCache>
            </c:strRef>
          </c:tx>
          <c:spPr>
            <a:ln w="19050" cap="rnd">
              <a:noFill/>
              <a:round/>
            </a:ln>
            <a:effectLst/>
          </c:spPr>
          <c:marker>
            <c:symbol val="circle"/>
            <c:size val="5"/>
            <c:spPr>
              <a:solidFill>
                <a:schemeClr val="accent1"/>
              </a:solidFill>
              <a:ln w="9525">
                <a:solidFill>
                  <a:schemeClr val="accent1"/>
                </a:solidFill>
              </a:ln>
              <a:effectLst/>
            </c:spPr>
          </c:marker>
          <c:dLbls>
            <c:dLbl>
              <c:idx val="0"/>
              <c:tx>
                <c:rich>
                  <a:bodyPr/>
                  <a:lstStyle/>
                  <a:p>
                    <a:r>
                      <a:rPr lang="en-US"/>
                      <a:t>1</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5390-5B49-B71C-1C9E2D728676}"/>
                </c:ext>
              </c:extLst>
            </c:dLbl>
            <c:dLbl>
              <c:idx val="1"/>
              <c:tx>
                <c:rich>
                  <a:bodyPr/>
                  <a:lstStyle/>
                  <a:p>
                    <a:r>
                      <a:rPr lang="en-US"/>
                      <a:t>2</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390-5B49-B71C-1C9E2D728676}"/>
                </c:ext>
              </c:extLst>
            </c:dLbl>
            <c:dLbl>
              <c:idx val="2"/>
              <c:tx>
                <c:rich>
                  <a:bodyPr/>
                  <a:lstStyle/>
                  <a:p>
                    <a:r>
                      <a:rPr lang="en-US"/>
                      <a:t>3</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390-5B49-B71C-1C9E2D728676}"/>
                </c:ext>
              </c:extLst>
            </c:dLbl>
            <c:dLbl>
              <c:idx val="3"/>
              <c:tx>
                <c:rich>
                  <a:bodyPr/>
                  <a:lstStyle/>
                  <a:p>
                    <a:r>
                      <a:rPr lang="en-US"/>
                      <a:t>4</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390-5B49-B71C-1C9E2D728676}"/>
                </c:ext>
              </c:extLst>
            </c:dLbl>
            <c:dLbl>
              <c:idx val="4"/>
              <c:tx>
                <c:rich>
                  <a:bodyPr/>
                  <a:lstStyle/>
                  <a:p>
                    <a:r>
                      <a:rPr lang="en-US"/>
                      <a:t>5</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390-5B49-B71C-1C9E2D728676}"/>
                </c:ext>
              </c:extLst>
            </c:dLbl>
            <c:dLbl>
              <c:idx val="5"/>
              <c:tx>
                <c:rich>
                  <a:bodyPr/>
                  <a:lstStyle/>
                  <a:p>
                    <a:r>
                      <a:rPr lang="en-US"/>
                      <a:t>6</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5390-5B49-B71C-1C9E2D728676}"/>
                </c:ext>
              </c:extLst>
            </c:dLbl>
            <c:dLbl>
              <c:idx val="6"/>
              <c:tx>
                <c:rich>
                  <a:bodyPr/>
                  <a:lstStyle/>
                  <a:p>
                    <a:r>
                      <a:rPr lang="en-US"/>
                      <a:t>7</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5390-5B49-B71C-1C9E2D728676}"/>
                </c:ext>
              </c:extLst>
            </c:dLbl>
            <c:dLbl>
              <c:idx val="7"/>
              <c:tx>
                <c:rich>
                  <a:bodyPr/>
                  <a:lstStyle/>
                  <a:p>
                    <a:r>
                      <a:rPr lang="en-US"/>
                      <a:t>8</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5390-5B49-B71C-1C9E2D728676}"/>
                </c:ext>
              </c:extLst>
            </c:dLbl>
            <c:dLbl>
              <c:idx val="8"/>
              <c:tx>
                <c:rich>
                  <a:bodyPr/>
                  <a:lstStyle/>
                  <a:p>
                    <a:r>
                      <a:rPr lang="en-US"/>
                      <a:t>9</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5390-5B49-B71C-1C9E2D728676}"/>
                </c:ext>
              </c:extLst>
            </c:dLbl>
            <c:dLbl>
              <c:idx val="9"/>
              <c:tx>
                <c:rich>
                  <a:bodyPr/>
                  <a:lstStyle/>
                  <a:p>
                    <a:r>
                      <a:rPr lang="en-US"/>
                      <a:t>10</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5390-5B49-B71C-1C9E2D728676}"/>
                </c:ext>
              </c:extLst>
            </c:dLbl>
            <c:dLbl>
              <c:idx val="10"/>
              <c:tx>
                <c:rich>
                  <a:bodyPr/>
                  <a:lstStyle/>
                  <a:p>
                    <a:r>
                      <a:rPr lang="en-US"/>
                      <a:t>11</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5390-5B49-B71C-1C9E2D728676}"/>
                </c:ext>
              </c:extLst>
            </c:dLbl>
            <c:dLbl>
              <c:idx val="11"/>
              <c:tx>
                <c:rich>
                  <a:bodyPr/>
                  <a:lstStyle/>
                  <a:p>
                    <a:r>
                      <a:rPr lang="en-US"/>
                      <a:t>12</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5390-5B49-B71C-1C9E2D728676}"/>
                </c:ext>
              </c:extLst>
            </c:dLbl>
            <c:dLbl>
              <c:idx val="12"/>
              <c:tx>
                <c:rich>
                  <a:bodyPr/>
                  <a:lstStyle/>
                  <a:p>
                    <a:r>
                      <a:rPr lang="en-US"/>
                      <a:t>13</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5390-5B49-B71C-1C9E2D728676}"/>
                </c:ext>
              </c:extLst>
            </c:dLbl>
            <c:dLbl>
              <c:idx val="13"/>
              <c:tx>
                <c:rich>
                  <a:bodyPr/>
                  <a:lstStyle/>
                  <a:p>
                    <a:r>
                      <a:rPr lang="en-US"/>
                      <a:t>14</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5390-5B49-B71C-1C9E2D728676}"/>
                </c:ext>
              </c:extLst>
            </c:dLbl>
            <c:dLbl>
              <c:idx val="14"/>
              <c:tx>
                <c:rich>
                  <a:bodyPr/>
                  <a:lstStyle/>
                  <a:p>
                    <a:r>
                      <a:rPr lang="en-US"/>
                      <a:t>15</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5390-5B49-B71C-1C9E2D728676}"/>
                </c:ext>
              </c:extLst>
            </c:dLbl>
            <c:dLbl>
              <c:idx val="15"/>
              <c:tx>
                <c:rich>
                  <a:bodyPr/>
                  <a:lstStyle/>
                  <a:p>
                    <a:r>
                      <a:rPr lang="en-US"/>
                      <a:t>16</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5390-5B49-B71C-1C9E2D72867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'[3]MDS Analysis'!$B$91:$B$106</c:f>
              <c:numCache>
                <c:formatCode>General</c:formatCode>
                <c:ptCount val="16"/>
                <c:pt idx="0">
                  <c:v>1.6691513555941437</c:v>
                </c:pt>
                <c:pt idx="1">
                  <c:v>0.73690819470310009</c:v>
                </c:pt>
                <c:pt idx="2">
                  <c:v>1.4493813921882999</c:v>
                </c:pt>
                <c:pt idx="3">
                  <c:v>1.4914323738173998</c:v>
                </c:pt>
                <c:pt idx="4">
                  <c:v>1.274982616842484</c:v>
                </c:pt>
                <c:pt idx="5">
                  <c:v>1.2876444955144564</c:v>
                </c:pt>
                <c:pt idx="6">
                  <c:v>0.64421390196975936</c:v>
                </c:pt>
                <c:pt idx="7">
                  <c:v>0.24018800051497871</c:v>
                </c:pt>
                <c:pt idx="8">
                  <c:v>0.52646642238237529</c:v>
                </c:pt>
                <c:pt idx="9">
                  <c:v>-0.35488387703537211</c:v>
                </c:pt>
                <c:pt idx="10">
                  <c:v>1.8112116780753907E-2</c:v>
                </c:pt>
                <c:pt idx="11">
                  <c:v>-0.26192142888752828</c:v>
                </c:pt>
                <c:pt idx="12">
                  <c:v>-0.84991699203753468</c:v>
                </c:pt>
                <c:pt idx="13">
                  <c:v>-1.3465295617500601</c:v>
                </c:pt>
                <c:pt idx="14">
                  <c:v>-1.9992286408718052</c:v>
                </c:pt>
                <c:pt idx="15">
                  <c:v>-1.2489221930155376</c:v>
                </c:pt>
              </c:numCache>
            </c:numRef>
          </c:xVal>
          <c:yVal>
            <c:numRef>
              <c:f>'[3]MDS Analysis'!$C$91:$C$106</c:f>
              <c:numCache>
                <c:formatCode>General</c:formatCode>
                <c:ptCount val="16"/>
                <c:pt idx="0">
                  <c:v>-2.3907208170237575</c:v>
                </c:pt>
                <c:pt idx="1">
                  <c:v>-2.0794329239042009</c:v>
                </c:pt>
                <c:pt idx="2">
                  <c:v>-1.8538049452571821</c:v>
                </c:pt>
                <c:pt idx="3">
                  <c:v>-1.5404818671073552</c:v>
                </c:pt>
                <c:pt idx="4">
                  <c:v>-1.3092774796629629</c:v>
                </c:pt>
                <c:pt idx="5">
                  <c:v>0.43695357609492125</c:v>
                </c:pt>
                <c:pt idx="6">
                  <c:v>-0.34474577634592324</c:v>
                </c:pt>
                <c:pt idx="7">
                  <c:v>-0.43035487466084776</c:v>
                </c:pt>
                <c:pt idx="8">
                  <c:v>0.95776606930435149</c:v>
                </c:pt>
                <c:pt idx="9">
                  <c:v>0.29369371877844996</c:v>
                </c:pt>
                <c:pt idx="10">
                  <c:v>1.2555254607595148</c:v>
                </c:pt>
                <c:pt idx="11">
                  <c:v>1.4101380334330913</c:v>
                </c:pt>
                <c:pt idx="12">
                  <c:v>1.461214210788361</c:v>
                </c:pt>
                <c:pt idx="13">
                  <c:v>1.1966188265195403</c:v>
                </c:pt>
                <c:pt idx="14">
                  <c:v>1.2512021355101977</c:v>
                </c:pt>
                <c:pt idx="15">
                  <c:v>2.278675442852768</c:v>
                </c:pt>
              </c:numCache>
            </c:numRef>
          </c:yVal>
          <c:smooth val="0"/>
          <c:extLst>
            <c:ext xmlns:c16="http://schemas.microsoft.com/office/drawing/2014/chart" uri="{C3380CC4-5D6E-409C-BE32-E72D297353CC}">
              <c16:uniqueId val="{00000010-5390-5B49-B71C-1C9E2D728676}"/>
            </c:ext>
          </c:extLst>
        </c:ser>
        <c:dLbls>
          <c:showLegendKey val="0"/>
          <c:showVal val="0"/>
          <c:showCatName val="0"/>
          <c:showSerName val="0"/>
          <c:showPercent val="0"/>
          <c:showBubbleSize val="0"/>
        </c:dLbls>
        <c:axId val="-772205744"/>
        <c:axId val="-772200304"/>
      </c:scatterChart>
      <c:valAx>
        <c:axId val="-772205744"/>
        <c:scaling>
          <c:orientation val="minMax"/>
          <c:max val="3"/>
          <c:min val="-3"/>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200304"/>
        <c:crosses val="autoZero"/>
        <c:crossBetween val="midCat"/>
      </c:valAx>
      <c:valAx>
        <c:axId val="-772200304"/>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20574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19</xdr:col>
      <xdr:colOff>16933</xdr:colOff>
      <xdr:row>13</xdr:row>
      <xdr:rowOff>169333</xdr:rowOff>
    </xdr:from>
    <xdr:ext cx="13732934" cy="7052733"/>
    <xdr:sp macro="" textlink="">
      <xdr:nvSpPr>
        <xdr:cNvPr id="2" name="TextBox 1">
          <a:extLst>
            <a:ext uri="{FF2B5EF4-FFF2-40B4-BE49-F238E27FC236}">
              <a16:creationId xmlns:a16="http://schemas.microsoft.com/office/drawing/2014/main" id="{49926CFA-3409-7046-370E-089040756D6B}"/>
            </a:ext>
          </a:extLst>
        </xdr:cNvPr>
        <xdr:cNvSpPr txBox="1"/>
      </xdr:nvSpPr>
      <xdr:spPr>
        <a:xfrm>
          <a:off x="14190133" y="3208866"/>
          <a:ext cx="13732934" cy="7052733"/>
        </a:xfrm>
        <a:prstGeom prst="rect">
          <a:avLst/>
        </a:prstGeom>
        <a:solidFill>
          <a:schemeClr val="accent5">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b="1" i="0" u="sng" strike="noStrike">
              <a:solidFill>
                <a:schemeClr val="bg1"/>
              </a:solidFill>
              <a:effectLst/>
              <a:latin typeface="+mn-lt"/>
              <a:ea typeface="+mn-ea"/>
              <a:cs typeface="+mn-cs"/>
            </a:rPr>
            <a:t>Cluster Analysis of Airline Customer Preferences</a:t>
          </a:r>
        </a:p>
        <a:p>
          <a:r>
            <a:rPr lang="en-GB" sz="1100" b="1" u="none">
              <a:solidFill>
                <a:schemeClr val="bg1"/>
              </a:solidFill>
            </a:rPr>
            <a:t>1. Analysis of Five Clusters</a:t>
          </a:r>
        </a:p>
        <a:p>
          <a:r>
            <a:rPr lang="en-GB" sz="1100" b="0" u="none">
              <a:solidFill>
                <a:schemeClr val="bg1"/>
              </a:solidFill>
            </a:rPr>
            <a:t>We implemented a five-cluster approach using the standardised Z-scores for each customer's answers across the five key factors: Cost, Flight Availability, Likelihood of Delays, Loyalty Programme, and Tiered Seating. Based on the lowest distance (sum of squared differences) to each cluster centroid, consumers were assigned to clusters.</a:t>
          </a:r>
        </a:p>
        <a:p>
          <a:r>
            <a:rPr lang="en-GB" sz="1100" b="1" u="none">
              <a:solidFill>
                <a:schemeClr val="bg1"/>
              </a:solidFill>
            </a:rPr>
            <a:t>2. Four-Cluster Evaluation and Rationale</a:t>
          </a:r>
        </a:p>
        <a:p>
          <a:r>
            <a:rPr lang="en-GB" sz="1100" b="0" u="none">
              <a:solidFill>
                <a:schemeClr val="bg1"/>
              </a:solidFill>
            </a:rPr>
            <a:t>By combining related groups according to proximity and feature prioritisation similarity, a four-cluster analysis was also carried out. When calculating the overall within-cluster sum of squared distances (WCSS), the 4-cluster model had a smaller sum of distances (SumDis2 = 10.18) than the 5-cluster model, suggesting a more compact grouping.</a:t>
          </a:r>
        </a:p>
        <a:p>
          <a:r>
            <a:rPr lang="en-GB" sz="1100" b="0" u="none">
              <a:solidFill>
                <a:schemeClr val="bg1"/>
              </a:solidFill>
            </a:rPr>
            <a:t>In summary, the four-cluster model should be applied since it improves interpretability and eliminates redundancy without compromising significant group variation.</a:t>
          </a:r>
        </a:p>
        <a:p>
          <a:r>
            <a:rPr lang="en-GB" sz="1100" b="1" u="none">
              <a:solidFill>
                <a:schemeClr val="bg1"/>
              </a:solidFill>
            </a:rPr>
            <a:t>3. Marketing Suggestions and Cluster Descriptions</a:t>
          </a:r>
        </a:p>
        <a:p>
          <a:r>
            <a:rPr lang="en-GB" sz="1100" b="1" u="none">
              <a:solidFill>
                <a:schemeClr val="bg1"/>
              </a:solidFill>
            </a:rPr>
            <a:t>Cluster 1</a:t>
          </a:r>
          <a:r>
            <a:rPr lang="en-GB" sz="1100" b="0" u="none">
              <a:solidFill>
                <a:schemeClr val="bg1"/>
              </a:solidFill>
            </a:rPr>
            <a:t>: </a:t>
          </a:r>
        </a:p>
        <a:p>
          <a:r>
            <a:rPr lang="en-GB" sz="1100" b="0" u="none">
              <a:solidFill>
                <a:schemeClr val="bg1"/>
              </a:solidFill>
            </a:rPr>
            <a:t>Characteristics of Cost-Conscious and Delay-Averse Travellers Strong emphasis on availability and affordability, extreme worry about delays, and a moderate appreciation for tiered seats and loyalty programmes.</a:t>
          </a:r>
        </a:p>
        <a:p>
          <a:r>
            <a:rPr lang="en-GB" sz="1100" b="0" u="none">
              <a:solidFill>
                <a:schemeClr val="bg1"/>
              </a:solidFill>
            </a:rPr>
            <a:t>Marketing Plan: Highlight frequent routes, inexpensive rates, and on-time performance assurances. Make use of phrases such as "Affordable, Reliable, and Always On Time." To keep them, offer limited loyalty benefits.</a:t>
          </a:r>
        </a:p>
        <a:p>
          <a:r>
            <a:rPr lang="en-GB" sz="1100" b="1" u="none">
              <a:solidFill>
                <a:schemeClr val="bg1"/>
              </a:solidFill>
            </a:rPr>
            <a:t>Cluster 2</a:t>
          </a:r>
          <a:r>
            <a:rPr lang="en-GB" sz="1100" b="0" u="none">
              <a:solidFill>
                <a:schemeClr val="bg1"/>
              </a:solidFill>
            </a:rPr>
            <a:t>: </a:t>
          </a:r>
        </a:p>
        <a:p>
          <a:r>
            <a:rPr lang="en-GB" sz="1100" b="0" u="none">
              <a:solidFill>
                <a:schemeClr val="bg1"/>
              </a:solidFill>
            </a:rPr>
            <a:t>Moderate Preference with Characteristics of Cost Sensitivity Most qualities are moderate, although cost is marginally more significant. less concerned with loyalty or delays.</a:t>
          </a:r>
        </a:p>
        <a:p>
          <a:r>
            <a:rPr lang="en-GB" sz="1100" b="0" u="none">
              <a:solidFill>
                <a:schemeClr val="bg1"/>
              </a:solidFill>
            </a:rPr>
            <a:t>Marketing Plan: Make value an appeal by providing bundled services (e.g., flexible booking with economy ticket or free carry-on). Deals will get their attention more than luxury.</a:t>
          </a:r>
        </a:p>
        <a:p>
          <a:r>
            <a:rPr lang="en-GB" sz="1100" b="1" u="none">
              <a:solidFill>
                <a:schemeClr val="bg1"/>
              </a:solidFill>
            </a:rPr>
            <a:t>Cluster 3</a:t>
          </a:r>
          <a:r>
            <a:rPr lang="en-GB" sz="1100" b="0" u="none">
              <a:solidFill>
                <a:schemeClr val="bg1"/>
              </a:solidFill>
            </a:rPr>
            <a:t>:</a:t>
          </a:r>
          <a:r>
            <a:rPr lang="en-GB" sz="1100" b="0" u="none" baseline="0">
              <a:solidFill>
                <a:schemeClr val="bg1"/>
              </a:solidFill>
            </a:rPr>
            <a:t> </a:t>
          </a:r>
        </a:p>
        <a:p>
          <a:r>
            <a:rPr lang="en-GB" sz="1100" b="0" u="none">
              <a:solidFill>
                <a:schemeClr val="bg1"/>
              </a:solidFill>
            </a:rPr>
            <a:t>Experience-Seekers Characteristics: Low focus on expenses and delays, high value on tiered seating and loyalty programmes.</a:t>
          </a:r>
        </a:p>
        <a:p>
          <a:r>
            <a:rPr lang="en-GB" sz="1100" b="0" u="none">
              <a:solidFill>
                <a:schemeClr val="bg1"/>
              </a:solidFill>
            </a:rPr>
            <a:t>Marketing Plan: Emphasise fast-track boarding, first-class lounges, elite perks, and special tier access. Make use of promotions like "Fly Like a VIP" that communicate status.</a:t>
          </a:r>
        </a:p>
        <a:p>
          <a:r>
            <a:rPr lang="en-GB" sz="1100" b="1" u="none">
              <a:solidFill>
                <a:schemeClr val="bg1"/>
              </a:solidFill>
            </a:rPr>
            <a:t>Cluster 4</a:t>
          </a:r>
          <a:r>
            <a:rPr lang="en-GB" sz="1100" b="0" u="none">
              <a:solidFill>
                <a:schemeClr val="bg1"/>
              </a:solidFill>
            </a:rPr>
            <a:t>:</a:t>
          </a:r>
        </a:p>
        <a:p>
          <a:r>
            <a:rPr lang="en-GB" sz="1100" b="0" u="none" baseline="0">
              <a:solidFill>
                <a:schemeClr val="bg1"/>
              </a:solidFill>
            </a:rPr>
            <a:t> </a:t>
          </a:r>
          <a:r>
            <a:rPr lang="en-GB" sz="1100" b="0" u="none">
              <a:solidFill>
                <a:schemeClr val="bg1"/>
              </a:solidFill>
            </a:rPr>
            <a:t>Balanced yet Premium-Oriented Features: High levels of loyalty, flight availability, and tiered seats, with a moderate amount of pricing concern.</a:t>
          </a:r>
        </a:p>
        <a:p>
          <a:r>
            <a:rPr lang="en-GB" sz="1100" b="0" u="none">
              <a:solidFill>
                <a:schemeClr val="bg1"/>
              </a:solidFill>
            </a:rPr>
            <a:t>Promote flexibility, frequent departures, and tiers of comfort as part of your marketing strategy. Upgrades or discounts based on loyalty would be desirable. Make use of phrases such as "Comfort and Flexibility at Your Command."</a:t>
          </a:r>
        </a:p>
        <a:p>
          <a:r>
            <a:rPr lang="en-GB" sz="1100" b="1" u="none">
              <a:solidFill>
                <a:schemeClr val="bg1"/>
              </a:solidFill>
            </a:rPr>
            <a:t>In brief</a:t>
          </a:r>
        </a:p>
        <a:p>
          <a:r>
            <a:rPr lang="en-GB" sz="1100" b="0" u="none">
              <a:solidFill>
                <a:schemeClr val="bg1"/>
              </a:solidFill>
            </a:rPr>
            <a:t>Four unique client segments with varying travel priorities were found using cluster analysis. To increase consumer happiness and loyalty, airlines should adjust their marketing and service offers accordingly.</a:t>
          </a:r>
        </a:p>
        <a:p>
          <a:endParaRPr lang="en-GB" sz="1100" b="0" u="none">
            <a:solidFill>
              <a:schemeClr val="bg1"/>
            </a:solidFill>
          </a:endParaRPr>
        </a:p>
        <a:p>
          <a:r>
            <a:rPr lang="en-GB" sz="1100" b="1" u="none">
              <a:solidFill>
                <a:schemeClr val="bg1"/>
              </a:solidFill>
            </a:rPr>
            <a:t>Suggestions for Every Cluster</a:t>
          </a:r>
        </a:p>
        <a:p>
          <a:r>
            <a:rPr lang="en-GB" sz="1100" b="1" u="none">
              <a:solidFill>
                <a:schemeClr val="bg1"/>
              </a:solidFill>
            </a:rPr>
            <a:t>Cluster 1:</a:t>
          </a:r>
        </a:p>
        <a:p>
          <a:r>
            <a:rPr lang="en-GB" sz="1100" b="0" u="none">
              <a:solidFill>
                <a:schemeClr val="bg1"/>
              </a:solidFill>
            </a:rPr>
            <a:t>- Low-Cost Travellers Who Enjoy Incentives</a:t>
          </a:r>
        </a:p>
        <a:p>
          <a:r>
            <a:rPr lang="en-GB" sz="1100" b="0" u="none">
              <a:solidFill>
                <a:schemeClr val="bg1"/>
              </a:solidFill>
            </a:rPr>
            <a:t>-Low pricing are the most important factor to these clients, but they also value loyalty programmes.</a:t>
          </a:r>
        </a:p>
        <a:p>
          <a:r>
            <a:rPr lang="en-GB" sz="1100" b="0" u="none">
              <a:solidFill>
                <a:schemeClr val="bg1"/>
              </a:solidFill>
            </a:rPr>
            <a:t> Pay attention to low prices, special offers, and loyalty benefits like early boarding and points.</a:t>
          </a:r>
        </a:p>
        <a:p>
          <a:r>
            <a:rPr lang="en-GB" sz="1100" b="1" u="none">
              <a:solidFill>
                <a:schemeClr val="bg1"/>
              </a:solidFill>
            </a:rPr>
            <a:t>Cluster 2</a:t>
          </a:r>
          <a:r>
            <a:rPr lang="en-GB" sz="1100" b="0" u="none">
              <a:solidFill>
                <a:schemeClr val="bg1"/>
              </a:solidFill>
            </a:rPr>
            <a:t>: </a:t>
          </a:r>
        </a:p>
        <a:p>
          <a:r>
            <a:rPr lang="en-GB" sz="1100" b="0" u="none">
              <a:solidFill>
                <a:schemeClr val="bg1"/>
              </a:solidFill>
            </a:rPr>
            <a:t>-Equilibrium Passengers</a:t>
          </a:r>
        </a:p>
        <a:p>
          <a:r>
            <a:rPr lang="en-GB" sz="1100" b="0" u="none">
              <a:solidFill>
                <a:schemeClr val="bg1"/>
              </a:solidFill>
            </a:rPr>
            <a:t>-They search for a decent balance between cost, dependability, and comfort.</a:t>
          </a:r>
        </a:p>
        <a:p>
          <a:r>
            <a:rPr lang="en-GB" sz="1100" b="0" u="none">
              <a:solidFill>
                <a:schemeClr val="bg1"/>
              </a:solidFill>
            </a:rPr>
            <a:t>-</a:t>
          </a:r>
          <a:r>
            <a:rPr lang="en-GB" sz="1100" b="0" u="none" baseline="0">
              <a:solidFill>
                <a:schemeClr val="bg1"/>
              </a:solidFill>
            </a:rPr>
            <a:t> </a:t>
          </a:r>
          <a:r>
            <a:rPr lang="en-GB" sz="1100" b="0" u="none">
              <a:solidFill>
                <a:schemeClr val="bg1"/>
              </a:solidFill>
            </a:rPr>
            <a:t>Provide reasonable costs, a range of options, and emphasise dependable service.</a:t>
          </a:r>
        </a:p>
        <a:p>
          <a:r>
            <a:rPr lang="en-GB" sz="1100" b="1" u="none">
              <a:solidFill>
                <a:schemeClr val="bg1"/>
              </a:solidFill>
            </a:rPr>
            <a:t>Cluster 3</a:t>
          </a:r>
          <a:r>
            <a:rPr lang="en-GB" sz="1100" b="0" u="none">
              <a:solidFill>
                <a:schemeClr val="bg1"/>
              </a:solidFill>
            </a:rPr>
            <a:t>:</a:t>
          </a:r>
        </a:p>
        <a:p>
          <a:r>
            <a:rPr lang="en-GB" sz="1100" b="0" u="none">
              <a:solidFill>
                <a:schemeClr val="bg1"/>
              </a:solidFill>
            </a:rPr>
            <a:t>- Lovers of Comfort and Service</a:t>
          </a:r>
        </a:p>
        <a:p>
          <a:r>
            <a:rPr lang="en-GB" sz="1100" b="0" u="none">
              <a:solidFill>
                <a:schemeClr val="bg1"/>
              </a:solidFill>
            </a:rPr>
            <a:t>- They demand excellent service, no delays, and comfort, but they don't mind spending more.</a:t>
          </a:r>
        </a:p>
        <a:p>
          <a:r>
            <a:rPr lang="en-GB" sz="1100" b="0" u="none">
              <a:solidFill>
                <a:schemeClr val="bg1"/>
              </a:solidFill>
            </a:rPr>
            <a:t> - Encourage first-class tickets, punctual flights, and VIP treatment.</a:t>
          </a:r>
          <a:r>
            <a:rPr lang="en-GB" sz="1100" b="1" u="none">
              <a:solidFill>
                <a:schemeClr val="bg1"/>
              </a:solidFill>
            </a:rPr>
            <a:t> </a:t>
          </a:r>
        </a:p>
        <a:p>
          <a:r>
            <a:rPr lang="en-GB" sz="1100" b="1" u="none">
              <a:solidFill>
                <a:schemeClr val="bg1"/>
              </a:solidFill>
            </a:rPr>
            <a:t>Cluster 4</a:t>
          </a:r>
          <a:r>
            <a:rPr lang="en-GB" sz="1100" b="0" u="none">
              <a:solidFill>
                <a:schemeClr val="bg1"/>
              </a:solidFill>
            </a:rPr>
            <a:t>: </a:t>
          </a:r>
        </a:p>
        <a:p>
          <a:r>
            <a:rPr lang="en-GB" sz="1100" b="0" u="none">
              <a:solidFill>
                <a:schemeClr val="bg1"/>
              </a:solidFill>
            </a:rPr>
            <a:t>-</a:t>
          </a:r>
          <a:r>
            <a:rPr lang="en-GB" sz="1100" b="0" u="none" baseline="0">
              <a:solidFill>
                <a:schemeClr val="bg1"/>
              </a:solidFill>
            </a:rPr>
            <a:t> </a:t>
          </a:r>
          <a:r>
            <a:rPr lang="en-GB" sz="1100" b="0" u="none">
              <a:solidFill>
                <a:schemeClr val="bg1"/>
              </a:solidFill>
            </a:rPr>
            <a:t>Flyers with a Schedule</a:t>
          </a:r>
        </a:p>
        <a:p>
          <a:r>
            <a:rPr lang="en-GB" sz="1100" b="0" u="none">
              <a:solidFill>
                <a:schemeClr val="bg1"/>
              </a:solidFill>
            </a:rPr>
            <a:t>-</a:t>
          </a:r>
          <a:r>
            <a:rPr lang="en-GB" sz="1100" b="0" u="none" baseline="0">
              <a:solidFill>
                <a:schemeClr val="bg1"/>
              </a:solidFill>
            </a:rPr>
            <a:t> </a:t>
          </a:r>
          <a:r>
            <a:rPr lang="en-GB" sz="1100" b="0" u="none">
              <a:solidFill>
                <a:schemeClr val="bg1"/>
              </a:solidFill>
            </a:rPr>
            <a:t>Their top priorities are flexible scheduling and a wide range of flying options.</a:t>
          </a:r>
        </a:p>
        <a:p>
          <a:r>
            <a:rPr lang="en-GB" sz="1100" b="0" u="none">
              <a:solidFill>
                <a:schemeClr val="bg1"/>
              </a:solidFill>
            </a:rPr>
            <a:t> - Stress the availability of flights, the number of daily flights, and the ease of booking.</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18</xdr:col>
      <xdr:colOff>16933</xdr:colOff>
      <xdr:row>13</xdr:row>
      <xdr:rowOff>169333</xdr:rowOff>
    </xdr:from>
    <xdr:ext cx="13732934" cy="6383867"/>
    <xdr:sp macro="" textlink="">
      <xdr:nvSpPr>
        <xdr:cNvPr id="2" name="TextBox 1">
          <a:extLst>
            <a:ext uri="{FF2B5EF4-FFF2-40B4-BE49-F238E27FC236}">
              <a16:creationId xmlns:a16="http://schemas.microsoft.com/office/drawing/2014/main" id="{7226EB0B-B600-5042-B559-F42C9C503598}"/>
            </a:ext>
          </a:extLst>
        </xdr:cNvPr>
        <xdr:cNvSpPr txBox="1"/>
      </xdr:nvSpPr>
      <xdr:spPr>
        <a:xfrm>
          <a:off x="13504333" y="3179233"/>
          <a:ext cx="13732934" cy="6383867"/>
        </a:xfrm>
        <a:prstGeom prst="rect">
          <a:avLst/>
        </a:prstGeom>
        <a:solidFill>
          <a:schemeClr val="accent5">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600" b="1" i="0" u="sng" strike="noStrike">
              <a:solidFill>
                <a:schemeClr val="bg1"/>
              </a:solidFill>
              <a:effectLst/>
              <a:latin typeface="+mn-lt"/>
              <a:ea typeface="+mn-ea"/>
              <a:cs typeface="+mn-cs"/>
            </a:rPr>
            <a:t>Cluster Analysis of Airline Customer Preferences</a:t>
          </a:r>
        </a:p>
        <a:p>
          <a:r>
            <a:rPr lang="en-GB" sz="1600" b="1" u="none">
              <a:solidFill>
                <a:schemeClr val="bg1"/>
              </a:solidFill>
            </a:rPr>
            <a:t>Analysis of Five Clusters</a:t>
          </a:r>
        </a:p>
        <a:p>
          <a:r>
            <a:rPr lang="en-GB" sz="1600" b="0" u="none">
              <a:solidFill>
                <a:schemeClr val="bg1"/>
              </a:solidFill>
            </a:rPr>
            <a:t>Based on their evaluations of five factors—cost, flight availability, likelihood of delays, loyalty programme, and tier seating—we performed a cluster analysis on 16 airline customers. Five client groupings with unique preferences were the outcome of this. But without appreciably enhancing the analysis, the five-cluster approach increases complexity. </a:t>
          </a:r>
        </a:p>
        <a:p>
          <a:r>
            <a:rPr lang="en-GB" sz="1600" b="0" u="none">
              <a:solidFill>
                <a:schemeClr val="bg1"/>
              </a:solidFill>
            </a:rPr>
            <a:t> Four-Cluster Comparison </a:t>
          </a:r>
        </a:p>
        <a:p>
          <a:r>
            <a:rPr lang="en-GB" sz="1600" b="0" u="none">
              <a:solidFill>
                <a:schemeClr val="bg1"/>
              </a:solidFill>
            </a:rPr>
            <a:t>We discovered a low total distance (Sum of Squares) of 12.12 after using four clusters to analyse the data, suggesting that the four-cluster model effectively and simply groups customers.</a:t>
          </a:r>
        </a:p>
        <a:p>
          <a:r>
            <a:rPr lang="en-GB" sz="1600" b="0" u="none">
              <a:solidFill>
                <a:schemeClr val="bg1"/>
              </a:solidFill>
            </a:rPr>
            <a:t>Suggestion: It is better to use the four-cluster model. It streamlines marketing plans and offers a productive means of focusing on specific clientele groups.</a:t>
          </a:r>
        </a:p>
        <a:p>
          <a:endParaRPr lang="en-GB" sz="1600" b="1" u="none">
            <a:solidFill>
              <a:schemeClr val="bg1"/>
            </a:solidFill>
          </a:endParaRPr>
        </a:p>
        <a:p>
          <a:r>
            <a:rPr lang="en-GB" sz="1600" b="1" u="none">
              <a:solidFill>
                <a:schemeClr val="bg1"/>
              </a:solidFill>
            </a:rPr>
            <a:t>Marketing Strategy &amp; Cluster Descriptions </a:t>
          </a:r>
        </a:p>
        <a:p>
          <a:r>
            <a:rPr lang="en-GB" sz="1600" b="1" u="none">
              <a:solidFill>
                <a:schemeClr val="bg1"/>
              </a:solidFill>
            </a:rPr>
            <a:t>Cluster 1</a:t>
          </a:r>
          <a:r>
            <a:rPr lang="en-GB" sz="1600" b="0" u="none">
              <a:solidFill>
                <a:schemeClr val="bg1"/>
              </a:solidFill>
            </a:rPr>
            <a:t>: Budget Travellers: These clients place a high importance on loyalty programmes and low prices. Airlines ought to concentrate on advertising loyalty programmes, discounts, and the benefits of tiered seating.</a:t>
          </a:r>
        </a:p>
        <a:p>
          <a:r>
            <a:rPr lang="en-GB" sz="1600" b="1" u="none">
              <a:solidFill>
                <a:schemeClr val="bg1"/>
              </a:solidFill>
            </a:rPr>
            <a:t>Cluster 2</a:t>
          </a:r>
          <a:r>
            <a:rPr lang="en-GB" sz="1600" b="0" u="none">
              <a:solidFill>
                <a:schemeClr val="bg1"/>
              </a:solidFill>
            </a:rPr>
            <a:t>: Punctual and Premium Flyers: This group places a high value on premium services and flight dependability. Marketing campaigns should emphasise first-class experiences, reward systems, and timeliness.</a:t>
          </a:r>
        </a:p>
        <a:p>
          <a:r>
            <a:rPr lang="en-GB" sz="1600" b="1" u="none">
              <a:solidFill>
                <a:schemeClr val="bg1"/>
              </a:solidFill>
            </a:rPr>
            <a:t>Cluster 3</a:t>
          </a:r>
          <a:r>
            <a:rPr lang="en-GB" sz="1600" b="0" u="none">
              <a:solidFill>
                <a:schemeClr val="bg1"/>
              </a:solidFill>
            </a:rPr>
            <a:t>: They appreciate comfort, detest delays, and have a moderate price sensitivity. A seamless, comfortable experience with less delays and more seating alternatives should be the focus of marketing campaigns.</a:t>
          </a:r>
        </a:p>
        <a:p>
          <a:r>
            <a:rPr lang="en-GB" sz="1600" b="1" u="none">
              <a:solidFill>
                <a:schemeClr val="bg1"/>
              </a:solidFill>
            </a:rPr>
            <a:t>Cluster 4</a:t>
          </a:r>
          <a:r>
            <a:rPr lang="en-GB" sz="1600" b="0" u="none">
              <a:solidFill>
                <a:schemeClr val="bg1"/>
              </a:solidFill>
            </a:rPr>
            <a:t>: High-End Loyalists: These clients respect loyalty programmes and first-rate services and have a low threshold for delays. Airlines ought to provide this market with exclusive offers, VIP benefits, and first-class experiences.</a:t>
          </a:r>
        </a:p>
        <a:p>
          <a:endParaRPr lang="en-GB" sz="1600" b="0" u="none">
            <a:solidFill>
              <a:schemeClr val="bg1"/>
            </a:solidFill>
          </a:endParaRPr>
        </a:p>
        <a:p>
          <a:r>
            <a:rPr lang="en-GB" sz="1600" b="1" u="none">
              <a:solidFill>
                <a:schemeClr val="bg1"/>
              </a:solidFill>
            </a:rPr>
            <a:t>Final recommendation</a:t>
          </a:r>
        </a:p>
        <a:p>
          <a:r>
            <a:rPr lang="en-GB" sz="1600" b="0" u="none">
              <a:solidFill>
                <a:schemeClr val="bg1"/>
              </a:solidFill>
            </a:rPr>
            <a:t>Airlines should adjust their marketing strategy to the unique demands of each of the four clusters. Budget travellers, for example, would benefit from more economical alternatives and loyalty points, but punctual and premium passengers would value premium services and dependability. Customising the experience in this way can increase consumer happiness and loyalty.</a:t>
          </a:r>
        </a:p>
        <a:p>
          <a:endParaRPr lang="en-GB" sz="1600" b="0" u="none">
            <a:solidFill>
              <a:schemeClr val="bg1"/>
            </a:solidFill>
          </a:endParaRPr>
        </a:p>
        <a:p>
          <a:endParaRPr lang="en-GB" sz="1100" b="0" u="none">
            <a:solidFill>
              <a:schemeClr val="bg1"/>
            </a:solidFill>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50801</xdr:colOff>
      <xdr:row>102</xdr:row>
      <xdr:rowOff>0</xdr:rowOff>
    </xdr:from>
    <xdr:to>
      <xdr:col>13</xdr:col>
      <xdr:colOff>12701</xdr:colOff>
      <xdr:row>125</xdr:row>
      <xdr:rowOff>105569</xdr:rowOff>
    </xdr:to>
    <xdr:graphicFrame macro="">
      <xdr:nvGraphicFramePr>
        <xdr:cNvPr id="2" name="Chart 1">
          <a:extLst>
            <a:ext uri="{FF2B5EF4-FFF2-40B4-BE49-F238E27FC236}">
              <a16:creationId xmlns:a16="http://schemas.microsoft.com/office/drawing/2014/main" id="{B2AA62D5-A9F1-4B4D-967F-1AC20CFC8B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279400</xdr:colOff>
      <xdr:row>102</xdr:row>
      <xdr:rowOff>165100</xdr:rowOff>
    </xdr:from>
    <xdr:to>
      <xdr:col>27</xdr:col>
      <xdr:colOff>647700</xdr:colOff>
      <xdr:row>124</xdr:row>
      <xdr:rowOff>152400</xdr:rowOff>
    </xdr:to>
    <xdr:sp macro="" textlink="">
      <xdr:nvSpPr>
        <xdr:cNvPr id="3" name="TextBox 2">
          <a:extLst>
            <a:ext uri="{FF2B5EF4-FFF2-40B4-BE49-F238E27FC236}">
              <a16:creationId xmlns:a16="http://schemas.microsoft.com/office/drawing/2014/main" id="{20FC3197-5A39-84DC-90C6-2D08C568CDEE}"/>
            </a:ext>
          </a:extLst>
        </xdr:cNvPr>
        <xdr:cNvSpPr txBox="1"/>
      </xdr:nvSpPr>
      <xdr:spPr>
        <a:xfrm>
          <a:off x="9245600" y="19964400"/>
          <a:ext cx="9791700" cy="417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u="sng"/>
            <a:t>Customer segmentation based on travel preferences</a:t>
          </a:r>
        </a:p>
        <a:p>
          <a:r>
            <a:rPr lang="en-GB" sz="1100"/>
            <a:t>When examining how various consumers pick airlines, four major groups of travellers stand out based on what they value most:</a:t>
          </a:r>
        </a:p>
        <a:p>
          <a:r>
            <a:rPr lang="en-GB" sz="1100"/>
            <a:t>1. Budget-conscious travellers</a:t>
          </a:r>
        </a:p>
        <a:p>
          <a:r>
            <a:rPr lang="en-GB" sz="1100"/>
            <a:t>These clients are primarily concerned about receiving the lowest possible price. They are less concerned with extra benefits such as loyalty points or VIP seats. This group includes travellers such as Customers 1, 3, 4, and 5. They stick together because conserving money is their primary goal.</a:t>
          </a:r>
        </a:p>
        <a:p>
          <a:r>
            <a:rPr lang="en-GB" sz="1100"/>
            <a:t>2. Perk-Loving Travellers</a:t>
          </a:r>
        </a:p>
        <a:p>
          <a:r>
            <a:rPr lang="en-GB" sz="1100"/>
            <a:t>This group appreciates the travel experience, which includes things like frequent flyer miles, comfortable seats, and additional amenities. Cost is not their primary concern. Customers 9, 11, and 12 belong here, establishing a cluster focused on service and loyalty benefits.</a:t>
          </a:r>
        </a:p>
        <a:p>
          <a:r>
            <a:rPr lang="en-GB" sz="1100"/>
            <a:t>3. Well-Rounded Travellers</a:t>
          </a:r>
        </a:p>
        <a:p>
          <a:r>
            <a:rPr lang="en-GB" sz="1100"/>
            <a:t>These clients consider everything equally: price, flight availability, loyalty programmes, and seats. They do not tilt too much in either way. Customers 7 and 8 are solid instances. They create a balanced group in the centre of the cluster map.</a:t>
          </a:r>
        </a:p>
        <a:p>
          <a:r>
            <a:rPr lang="en-GB" sz="1100"/>
            <a:t>4. Loyalty and Reliability Seekers</a:t>
          </a:r>
        </a:p>
        <a:p>
          <a:r>
            <a:rPr lang="en-GB" sz="1100"/>
            <a:t>Some travellers, such as Customers 6 and 9, prioritise trustworthy flight schedules and loyalty incentives. They want reliable carriers and frequent flyer privileges. These clients represent a separate category that values trust and benefits.</a:t>
          </a:r>
        </a:p>
        <a:p>
          <a:endParaRPr lang="en-GB" sz="1100"/>
        </a:p>
        <a:p>
          <a:r>
            <a:rPr lang="en-GB" sz="1100"/>
            <a:t>What Cluster Analysis Shows</a:t>
          </a:r>
        </a:p>
        <a:p>
          <a:r>
            <a:rPr lang="en-GB" sz="1100"/>
            <a:t>Each group of clients builds its own cluster depending on what they value most—whether it's low prices, extra services, a balanced perspective, or loyalty awards.</a:t>
          </a:r>
        </a:p>
        <a:p>
          <a:endParaRPr lang="en-GB" sz="1100"/>
        </a:p>
        <a:p>
          <a:r>
            <a:rPr lang="en-GB" sz="1100"/>
            <a:t>Perspectives from Multidimensional Scaling (MDS)</a:t>
          </a:r>
        </a:p>
        <a:p>
          <a:r>
            <a:rPr lang="en-GB" sz="1100"/>
            <a:t>The MDS map graphically supports the clusters. Customers with similar travel tastes cluster together. For example, price-conscious clients (like 1, 2, 3, 4) are clustered together, while service-oriented customers (like 9 and 11) are also present. This demonstrates that clustering and MDS provide consistent insights into customer behaviour.</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rhineeri/Documents/Webster%20Classes/Fall%20'18/MRKT%205895/Week%208/In-Class%20Work%20-%20MD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rhineeri/AppData/Local/Temp/Temp1_Chapter_38_Excel_Files.zip/Chapter_38_Excel_Files/breakfast.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yasodarana/Desktop/Zip%20File%20(MASALI)/Week%207/Homework%20-%20Week%207%20-%20Cluster%20&amp;%20MDS.xlsx" TargetMode="External"/><Relationship Id="rId1" Type="http://schemas.openxmlformats.org/officeDocument/2006/relationships/externalLinkPath" Target="/Users/yasodarana/Desktop/Zip%20File%20(MASALI)/Week%207/Homework%20-%20Week%207%20-%20Cluster%20&amp;%20MD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DS Steps"/>
      <sheetName val="Brand Attributes MDS (Data)"/>
      <sheetName val="Soda Ch38e1 (data)"/>
      <sheetName val="Soda Ch38e1"/>
      <sheetName val="matrixnba (data)"/>
      <sheetName val="matrixnba"/>
      <sheetName val="MDS PLOT"/>
      <sheetName val="Cluster Cities"/>
      <sheetName val="MDS Analysis"/>
      <sheetName val="Code Sheet"/>
      <sheetName val="Ideal Point"/>
    </sheetNames>
    <sheetDataSet>
      <sheetData sheetId="0"/>
      <sheetData sheetId="1"/>
      <sheetData sheetId="2"/>
      <sheetData sheetId="3"/>
      <sheetData sheetId="4"/>
      <sheetData sheetId="5">
        <row r="3">
          <cell r="I3">
            <v>1</v>
          </cell>
          <cell r="J3" t="str">
            <v>Boston</v>
          </cell>
          <cell r="K3">
            <v>100000</v>
          </cell>
          <cell r="L3">
            <v>190.56909999999999</v>
          </cell>
          <cell r="M3">
            <v>188.45249999999999</v>
          </cell>
          <cell r="N3">
            <v>273.4812</v>
          </cell>
          <cell r="O3">
            <v>394.03210000000001</v>
          </cell>
          <cell r="P3">
            <v>430.27879999999999</v>
          </cell>
          <cell r="Q3">
            <v>1255.3796</v>
          </cell>
          <cell r="R3">
            <v>721.06780000000003</v>
          </cell>
          <cell r="S3">
            <v>1114.4964</v>
          </cell>
          <cell r="T3">
            <v>550.52890000000002</v>
          </cell>
          <cell r="U3">
            <v>621.83989999999994</v>
          </cell>
          <cell r="V3">
            <v>936.75030000000004</v>
          </cell>
          <cell r="W3">
            <v>807.30529999999999</v>
          </cell>
          <cell r="X3">
            <v>852.84580000000005</v>
          </cell>
          <cell r="Y3">
            <v>857.88580000000002</v>
          </cell>
          <cell r="Z3">
            <v>1136.9348</v>
          </cell>
          <cell r="AA3">
            <v>1359.7004999999999</v>
          </cell>
          <cell r="AB3">
            <v>1124.018</v>
          </cell>
          <cell r="AC3">
            <v>1605.6427000000001</v>
          </cell>
          <cell r="AD3">
            <v>1551.7129</v>
          </cell>
          <cell r="AE3">
            <v>1495.7674999999999</v>
          </cell>
          <cell r="AF3">
            <v>1764.2893999999999</v>
          </cell>
          <cell r="AG3">
            <v>1770.4358999999999</v>
          </cell>
          <cell r="AH3">
            <v>2099.0509999999999</v>
          </cell>
          <cell r="AI3">
            <v>2299.7238000000002</v>
          </cell>
          <cell r="AJ3">
            <v>2597.8553000000002</v>
          </cell>
          <cell r="AK3">
            <v>2630.5880000000002</v>
          </cell>
          <cell r="AL3">
            <v>2688.9638</v>
          </cell>
          <cell r="AM3">
            <v>2538.7438999999999</v>
          </cell>
        </row>
        <row r="4">
          <cell r="I4">
            <v>2</v>
          </cell>
          <cell r="J4" t="str">
            <v>Brooklyn</v>
          </cell>
          <cell r="K4">
            <v>190.56909999999999</v>
          </cell>
          <cell r="L4">
            <v>100000</v>
          </cell>
          <cell r="M4">
            <v>4.7775999999999996</v>
          </cell>
          <cell r="N4">
            <v>82.930899999999994</v>
          </cell>
          <cell r="O4">
            <v>203.54150000000001</v>
          </cell>
          <cell r="P4">
            <v>344.48079999999999</v>
          </cell>
          <cell r="Q4">
            <v>1087.3724</v>
          </cell>
          <cell r="R4">
            <v>530.91899999999998</v>
          </cell>
          <cell r="S4">
            <v>936.08130000000006</v>
          </cell>
          <cell r="T4">
            <v>406.42849999999999</v>
          </cell>
          <cell r="U4">
            <v>498.99489999999997</v>
          </cell>
          <cell r="V4">
            <v>746.279</v>
          </cell>
          <cell r="W4">
            <v>646.77549999999997</v>
          </cell>
          <cell r="X4">
            <v>717.10720000000003</v>
          </cell>
          <cell r="Y4">
            <v>736.55420000000004</v>
          </cell>
          <cell r="Z4">
            <v>956.12890000000004</v>
          </cell>
          <cell r="AA4">
            <v>1169.6017999999999</v>
          </cell>
          <cell r="AB4">
            <v>1021.6174999999999</v>
          </cell>
          <cell r="AC4">
            <v>1419.5355</v>
          </cell>
          <cell r="AD4">
            <v>1373.9818</v>
          </cell>
          <cell r="AE4">
            <v>1328.405</v>
          </cell>
          <cell r="AF4">
            <v>1581.0718999999999</v>
          </cell>
          <cell r="AG4">
            <v>1634.1461999999999</v>
          </cell>
          <cell r="AH4">
            <v>1975.1251</v>
          </cell>
          <cell r="AI4">
            <v>2145.8119999999999</v>
          </cell>
          <cell r="AJ4">
            <v>2454.1846999999998</v>
          </cell>
          <cell r="AK4">
            <v>2507.6743000000001</v>
          </cell>
          <cell r="AL4">
            <v>2563.3906999999999</v>
          </cell>
          <cell r="AM4">
            <v>2447.2622000000001</v>
          </cell>
        </row>
        <row r="5">
          <cell r="I5">
            <v>3</v>
          </cell>
          <cell r="J5" t="str">
            <v>New York</v>
          </cell>
          <cell r="K5">
            <v>188.45249999999999</v>
          </cell>
          <cell r="L5">
            <v>4.7775999999999996</v>
          </cell>
          <cell r="M5">
            <v>100000</v>
          </cell>
          <cell r="N5">
            <v>85.306899999999999</v>
          </cell>
          <cell r="O5">
            <v>205.58029999999999</v>
          </cell>
          <cell r="P5">
            <v>340.84890000000001</v>
          </cell>
          <cell r="Q5">
            <v>1091.3969</v>
          </cell>
          <cell r="R5">
            <v>533.42169999999999</v>
          </cell>
          <cell r="S5">
            <v>939.71569999999997</v>
          </cell>
          <cell r="T5">
            <v>404.65949999999998</v>
          </cell>
          <cell r="U5">
            <v>496.56549999999999</v>
          </cell>
          <cell r="V5">
            <v>748.3021</v>
          </cell>
          <cell r="W5">
            <v>645.9692</v>
          </cell>
          <cell r="X5">
            <v>715.27750000000003</v>
          </cell>
          <cell r="Y5">
            <v>734.25350000000003</v>
          </cell>
          <cell r="Z5">
            <v>956.70899999999995</v>
          </cell>
          <cell r="AA5">
            <v>1171.4467</v>
          </cell>
          <cell r="AB5">
            <v>1018.8946</v>
          </cell>
          <cell r="AC5">
            <v>1420.6786999999999</v>
          </cell>
          <cell r="AD5">
            <v>1374.3615</v>
          </cell>
          <cell r="AE5">
            <v>1328.1251</v>
          </cell>
          <cell r="AF5">
            <v>1581.9168</v>
          </cell>
          <cell r="AG5">
            <v>1632.5534</v>
          </cell>
          <cell r="AH5">
            <v>1973.1574000000001</v>
          </cell>
          <cell r="AI5">
            <v>2144.9450999999999</v>
          </cell>
          <cell r="AJ5">
            <v>2452.9220999999998</v>
          </cell>
          <cell r="AK5">
            <v>2505.7112999999999</v>
          </cell>
          <cell r="AL5">
            <v>2561.5129000000002</v>
          </cell>
          <cell r="AM5">
            <v>2444.4533999999999</v>
          </cell>
        </row>
        <row r="6">
          <cell r="I6">
            <v>4</v>
          </cell>
          <cell r="J6" t="str">
            <v>Philadelphia</v>
          </cell>
          <cell r="K6">
            <v>273.4812</v>
          </cell>
          <cell r="L6">
            <v>82.930899999999994</v>
          </cell>
          <cell r="M6">
            <v>85.306899999999999</v>
          </cell>
          <cell r="N6">
            <v>100000</v>
          </cell>
          <cell r="O6">
            <v>120.9091</v>
          </cell>
          <cell r="P6">
            <v>337.32319999999999</v>
          </cell>
          <cell r="Q6">
            <v>1015.5590999999999</v>
          </cell>
          <cell r="R6">
            <v>448.12009999999998</v>
          </cell>
          <cell r="S6">
            <v>859.18190000000004</v>
          </cell>
          <cell r="T6">
            <v>359.3322</v>
          </cell>
          <cell r="U6">
            <v>462.02640000000002</v>
          </cell>
          <cell r="V6">
            <v>663.5231</v>
          </cell>
          <cell r="W6">
            <v>583.96270000000004</v>
          </cell>
          <cell r="X6">
            <v>668.11189999999999</v>
          </cell>
          <cell r="Y6">
            <v>695.28599999999994</v>
          </cell>
          <cell r="Z6">
            <v>879.52210000000002</v>
          </cell>
          <cell r="AA6">
            <v>1087.1252999999999</v>
          </cell>
          <cell r="AB6">
            <v>987.01700000000005</v>
          </cell>
          <cell r="AC6">
            <v>1339.4563000000001</v>
          </cell>
          <cell r="AD6">
            <v>1298.6030000000001</v>
          </cell>
          <cell r="AE6">
            <v>1258.7003</v>
          </cell>
          <cell r="AF6">
            <v>1502.5465999999999</v>
          </cell>
          <cell r="AG6">
            <v>1579.7343000000001</v>
          </cell>
          <cell r="AH6">
            <v>1926.0009</v>
          </cell>
          <cell r="AI6">
            <v>2081.8696</v>
          </cell>
          <cell r="AJ6">
            <v>2394.8984999999998</v>
          </cell>
          <cell r="AK6">
            <v>2458.1889999999999</v>
          </cell>
          <cell r="AL6">
            <v>2512.5843</v>
          </cell>
          <cell r="AM6">
            <v>2412.5036</v>
          </cell>
        </row>
        <row r="7">
          <cell r="I7">
            <v>5</v>
          </cell>
          <cell r="J7" t="str">
            <v>Washington</v>
          </cell>
          <cell r="K7">
            <v>394.03210000000001</v>
          </cell>
          <cell r="L7">
            <v>203.54150000000001</v>
          </cell>
          <cell r="M7">
            <v>205.58029999999999</v>
          </cell>
          <cell r="N7">
            <v>120.9091</v>
          </cell>
          <cell r="O7">
            <v>100000</v>
          </cell>
          <cell r="P7">
            <v>349.68209999999999</v>
          </cell>
          <cell r="Q7">
            <v>922.43560000000002</v>
          </cell>
          <cell r="R7">
            <v>329.63119999999998</v>
          </cell>
          <cell r="S7">
            <v>756.0181</v>
          </cell>
          <cell r="T7">
            <v>305.06889999999999</v>
          </cell>
          <cell r="U7">
            <v>418.43459999999999</v>
          </cell>
          <cell r="V7">
            <v>542.73990000000003</v>
          </cell>
          <cell r="W7">
            <v>492.79289999999997</v>
          </cell>
          <cell r="X7">
            <v>598.02480000000003</v>
          </cell>
          <cell r="Y7">
            <v>636.95749999999998</v>
          </cell>
          <cell r="Z7">
            <v>764.84460000000001</v>
          </cell>
          <cell r="AA7">
            <v>966.21640000000002</v>
          </cell>
          <cell r="AB7">
            <v>934.572</v>
          </cell>
          <cell r="AC7">
            <v>1220.2469000000001</v>
          </cell>
          <cell r="AD7">
            <v>1184.9509</v>
          </cell>
          <cell r="AE7">
            <v>1152.7231999999999</v>
          </cell>
          <cell r="AF7">
            <v>1384.9513999999999</v>
          </cell>
          <cell r="AG7">
            <v>1494.6039000000001</v>
          </cell>
          <cell r="AH7">
            <v>1847.55</v>
          </cell>
          <cell r="AI7">
            <v>1982.5442</v>
          </cell>
          <cell r="AJ7">
            <v>2301.5630000000001</v>
          </cell>
          <cell r="AK7">
            <v>2378.3107</v>
          </cell>
          <cell r="AL7">
            <v>2430.7941999999998</v>
          </cell>
          <cell r="AM7">
            <v>2353.4960000000001</v>
          </cell>
        </row>
        <row r="8">
          <cell r="I8">
            <v>6</v>
          </cell>
          <cell r="J8" t="str">
            <v>Toronto</v>
          </cell>
          <cell r="K8">
            <v>430.27879999999999</v>
          </cell>
          <cell r="L8">
            <v>344.48079999999999</v>
          </cell>
          <cell r="M8">
            <v>340.84890000000001</v>
          </cell>
          <cell r="N8">
            <v>337.32319999999999</v>
          </cell>
          <cell r="O8">
            <v>349.68209999999999</v>
          </cell>
          <cell r="P8">
            <v>100000</v>
          </cell>
          <cell r="Q8">
            <v>1232.1383000000001</v>
          </cell>
          <cell r="R8">
            <v>585.95619999999997</v>
          </cell>
          <cell r="S8">
            <v>1046.7</v>
          </cell>
          <cell r="T8">
            <v>189.28700000000001</v>
          </cell>
          <cell r="U8">
            <v>205.971</v>
          </cell>
          <cell r="V8">
            <v>733.48869999999999</v>
          </cell>
          <cell r="W8">
            <v>440.78949999999998</v>
          </cell>
          <cell r="X8">
            <v>438.88690000000003</v>
          </cell>
          <cell r="Y8">
            <v>431.971</v>
          </cell>
          <cell r="Z8">
            <v>817.54610000000002</v>
          </cell>
          <cell r="AA8">
            <v>1113.1854000000001</v>
          </cell>
          <cell r="AB8">
            <v>694.23770000000002</v>
          </cell>
          <cell r="AC8">
            <v>1301.2344000000001</v>
          </cell>
          <cell r="AD8">
            <v>1204.0177000000001</v>
          </cell>
          <cell r="AE8">
            <v>1117.3583000000001</v>
          </cell>
          <cell r="AF8">
            <v>1437.5442</v>
          </cell>
          <cell r="AG8">
            <v>1346.9382000000001</v>
          </cell>
          <cell r="AH8">
            <v>1669.8271</v>
          </cell>
          <cell r="AI8">
            <v>1890.318</v>
          </cell>
          <cell r="AJ8">
            <v>2177.4133000000002</v>
          </cell>
          <cell r="AK8">
            <v>2200.8919000000001</v>
          </cell>
          <cell r="AL8">
            <v>2259.7566999999999</v>
          </cell>
          <cell r="AM8">
            <v>2113.9409000000001</v>
          </cell>
        </row>
        <row r="9">
          <cell r="I9">
            <v>7</v>
          </cell>
          <cell r="J9" t="str">
            <v>Miami</v>
          </cell>
          <cell r="K9">
            <v>1255.3796</v>
          </cell>
          <cell r="L9">
            <v>1087.3724</v>
          </cell>
          <cell r="M9">
            <v>1091.3969</v>
          </cell>
          <cell r="N9">
            <v>1015.5590999999999</v>
          </cell>
          <cell r="O9">
            <v>922.43560000000002</v>
          </cell>
          <cell r="P9">
            <v>1232.1383000000001</v>
          </cell>
          <cell r="Q9">
            <v>100000</v>
          </cell>
          <cell r="R9">
            <v>651.70749999999998</v>
          </cell>
          <cell r="S9">
            <v>204.34630000000001</v>
          </cell>
          <cell r="T9">
            <v>1086.5083</v>
          </cell>
          <cell r="U9">
            <v>1178.8072999999999</v>
          </cell>
          <cell r="V9">
            <v>604.60910000000001</v>
          </cell>
          <cell r="W9">
            <v>1023.5996</v>
          </cell>
          <cell r="X9">
            <v>1188.9911999999999</v>
          </cell>
          <cell r="Y9">
            <v>1267.7279000000001</v>
          </cell>
          <cell r="Z9">
            <v>871.80880000000002</v>
          </cell>
          <cell r="AA9">
            <v>669.67259999999999</v>
          </cell>
          <cell r="AB9">
            <v>1511.3304000000001</v>
          </cell>
          <cell r="AC9">
            <v>967.89009999999996</v>
          </cell>
          <cell r="AD9">
            <v>1111.8287</v>
          </cell>
          <cell r="AE9">
            <v>1226.0138999999999</v>
          </cell>
          <cell r="AF9">
            <v>1145.9169999999999</v>
          </cell>
          <cell r="AG9">
            <v>1726.7374</v>
          </cell>
          <cell r="AH9">
            <v>2089.5715</v>
          </cell>
          <cell r="AI9">
            <v>1981.4683</v>
          </cell>
          <cell r="AJ9">
            <v>2340.4369000000002</v>
          </cell>
          <cell r="AK9">
            <v>2553.1003000000001</v>
          </cell>
          <cell r="AL9">
            <v>2582.5745000000002</v>
          </cell>
          <cell r="AM9">
            <v>2707.3514</v>
          </cell>
        </row>
        <row r="10">
          <cell r="I10">
            <v>8</v>
          </cell>
          <cell r="J10" t="str">
            <v>Charlotte</v>
          </cell>
          <cell r="K10">
            <v>721.06780000000003</v>
          </cell>
          <cell r="L10">
            <v>530.91899999999998</v>
          </cell>
          <cell r="M10">
            <v>533.42169999999999</v>
          </cell>
          <cell r="N10">
            <v>448.12009999999998</v>
          </cell>
          <cell r="O10">
            <v>329.63119999999998</v>
          </cell>
          <cell r="P10">
            <v>585.95619999999997</v>
          </cell>
          <cell r="Q10">
            <v>651.70749999999998</v>
          </cell>
          <cell r="R10">
            <v>100000</v>
          </cell>
          <cell r="S10">
            <v>461.11619999999999</v>
          </cell>
          <cell r="T10">
            <v>434.99770000000001</v>
          </cell>
          <cell r="U10">
            <v>531.38019999999995</v>
          </cell>
          <cell r="V10">
            <v>226.73230000000001</v>
          </cell>
          <cell r="W10">
            <v>427.9271</v>
          </cell>
          <cell r="X10">
            <v>589.26509999999996</v>
          </cell>
          <cell r="Y10">
            <v>659.30970000000002</v>
          </cell>
          <cell r="Z10">
            <v>521.11289999999997</v>
          </cell>
          <cell r="AA10">
            <v>649.78629999999998</v>
          </cell>
          <cell r="AB10">
            <v>939.70010000000002</v>
          </cell>
          <cell r="AC10">
            <v>926.94910000000004</v>
          </cell>
          <cell r="AD10">
            <v>930.82069999999999</v>
          </cell>
          <cell r="AE10">
            <v>940.87890000000004</v>
          </cell>
          <cell r="AF10">
            <v>1102.3556000000001</v>
          </cell>
          <cell r="AG10">
            <v>1359.7212999999999</v>
          </cell>
          <cell r="AH10">
            <v>1728.1955</v>
          </cell>
          <cell r="AI10">
            <v>1782.6036999999999</v>
          </cell>
          <cell r="AJ10">
            <v>2121.2764999999999</v>
          </cell>
          <cell r="AK10">
            <v>2245.6206999999999</v>
          </cell>
          <cell r="AL10">
            <v>2290.8506000000002</v>
          </cell>
          <cell r="AM10">
            <v>2289.5706</v>
          </cell>
        </row>
        <row r="11">
          <cell r="I11">
            <v>9</v>
          </cell>
          <cell r="J11" t="str">
            <v>Orlando</v>
          </cell>
          <cell r="K11">
            <v>1114.4964</v>
          </cell>
          <cell r="L11">
            <v>936.08130000000006</v>
          </cell>
          <cell r="M11">
            <v>939.71569999999997</v>
          </cell>
          <cell r="N11">
            <v>859.18190000000004</v>
          </cell>
          <cell r="O11">
            <v>756.0181</v>
          </cell>
          <cell r="P11">
            <v>1046.7</v>
          </cell>
          <cell r="Q11">
            <v>204.34630000000001</v>
          </cell>
          <cell r="R11">
            <v>461.11619999999999</v>
          </cell>
          <cell r="S11">
            <v>100000</v>
          </cell>
          <cell r="T11">
            <v>892.7242</v>
          </cell>
          <cell r="U11">
            <v>980.94489999999996</v>
          </cell>
          <cell r="V11">
            <v>400.62740000000002</v>
          </cell>
          <cell r="W11">
            <v>819.52440000000001</v>
          </cell>
          <cell r="X11">
            <v>984.75480000000005</v>
          </cell>
          <cell r="Y11">
            <v>1063.643</v>
          </cell>
          <cell r="Z11">
            <v>681.91759999999999</v>
          </cell>
          <cell r="AA11">
            <v>533.84119999999996</v>
          </cell>
          <cell r="AB11">
            <v>1307.7508</v>
          </cell>
          <cell r="AC11">
            <v>848.447</v>
          </cell>
          <cell r="AD11">
            <v>962.6857</v>
          </cell>
          <cell r="AE11">
            <v>1058.1006</v>
          </cell>
          <cell r="AF11">
            <v>1033.3275000000001</v>
          </cell>
          <cell r="AG11">
            <v>1551.1044999999999</v>
          </cell>
          <cell r="AH11">
            <v>1918.0284999999999</v>
          </cell>
          <cell r="AI11">
            <v>1845.0246999999999</v>
          </cell>
          <cell r="AJ11">
            <v>2202.3519999999999</v>
          </cell>
          <cell r="AK11">
            <v>2395.8211000000001</v>
          </cell>
          <cell r="AL11">
            <v>2429.0097999999998</v>
          </cell>
          <cell r="AM11">
            <v>2527.9967000000001</v>
          </cell>
        </row>
        <row r="12">
          <cell r="I12">
            <v>10</v>
          </cell>
          <cell r="J12" t="str">
            <v>Cleveland</v>
          </cell>
          <cell r="K12">
            <v>550.52890000000002</v>
          </cell>
          <cell r="L12">
            <v>406.42849999999999</v>
          </cell>
          <cell r="M12">
            <v>404.65949999999998</v>
          </cell>
          <cell r="N12">
            <v>359.3322</v>
          </cell>
          <cell r="O12">
            <v>305.06889999999999</v>
          </cell>
          <cell r="P12">
            <v>189.28700000000001</v>
          </cell>
          <cell r="Q12">
            <v>1086.5083</v>
          </cell>
          <cell r="R12">
            <v>434.99770000000001</v>
          </cell>
          <cell r="S12">
            <v>892.7242</v>
          </cell>
          <cell r="T12">
            <v>100000</v>
          </cell>
          <cell r="U12">
            <v>115.2127</v>
          </cell>
          <cell r="V12">
            <v>553.93550000000005</v>
          </cell>
          <cell r="W12">
            <v>263.48750000000001</v>
          </cell>
          <cell r="X12">
            <v>310.73820000000001</v>
          </cell>
          <cell r="Y12">
            <v>336.59469999999999</v>
          </cell>
          <cell r="Z12">
            <v>630.93240000000003</v>
          </cell>
          <cell r="AA12">
            <v>924.38430000000005</v>
          </cell>
          <cell r="AB12">
            <v>631.61929999999995</v>
          </cell>
          <cell r="AC12">
            <v>1114.4384</v>
          </cell>
          <cell r="AD12">
            <v>1025.7900999999999</v>
          </cell>
          <cell r="AE12">
            <v>951.70039999999995</v>
          </cell>
          <cell r="AF12">
            <v>1254.741</v>
          </cell>
          <cell r="AG12">
            <v>1228.223</v>
          </cell>
          <cell r="AH12">
            <v>1569.1143</v>
          </cell>
          <cell r="AI12">
            <v>1749.2929999999999</v>
          </cell>
          <cell r="AJ12">
            <v>2050.9832000000001</v>
          </cell>
          <cell r="AK12">
            <v>2101.6145000000001</v>
          </cell>
          <cell r="AL12">
            <v>2157.0558999999998</v>
          </cell>
          <cell r="AM12">
            <v>2054.9659000000001</v>
          </cell>
        </row>
        <row r="13">
          <cell r="I13">
            <v>11</v>
          </cell>
          <cell r="J13" t="str">
            <v>Detroit</v>
          </cell>
          <cell r="K13">
            <v>621.83989999999994</v>
          </cell>
          <cell r="L13">
            <v>498.99489999999997</v>
          </cell>
          <cell r="M13">
            <v>496.56549999999999</v>
          </cell>
          <cell r="N13">
            <v>462.02640000000002</v>
          </cell>
          <cell r="O13">
            <v>418.43459999999999</v>
          </cell>
          <cell r="P13">
            <v>205.971</v>
          </cell>
          <cell r="Q13">
            <v>1178.8072999999999</v>
          </cell>
          <cell r="R13">
            <v>531.38019999999995</v>
          </cell>
          <cell r="S13">
            <v>980.94489999999996</v>
          </cell>
          <cell r="T13">
            <v>115.2127</v>
          </cell>
          <cell r="U13">
            <v>100000</v>
          </cell>
          <cell r="V13">
            <v>619.74639999999999</v>
          </cell>
          <cell r="W13">
            <v>252.85669999999999</v>
          </cell>
          <cell r="X13">
            <v>233.8192</v>
          </cell>
          <cell r="Y13">
            <v>238.35910000000001</v>
          </cell>
          <cell r="Z13">
            <v>636.95680000000004</v>
          </cell>
          <cell r="AA13">
            <v>957.34590000000003</v>
          </cell>
          <cell r="AB13">
            <v>525.03179999999998</v>
          </cell>
          <cell r="AC13">
            <v>1117.731</v>
          </cell>
          <cell r="AD13">
            <v>1006.9081</v>
          </cell>
          <cell r="AE13">
            <v>913.26930000000004</v>
          </cell>
          <cell r="AF13">
            <v>1245.2059999999999</v>
          </cell>
          <cell r="AG13">
            <v>1148.6357</v>
          </cell>
          <cell r="AH13">
            <v>1480.2230999999999</v>
          </cell>
          <cell r="AI13">
            <v>1685.8014000000001</v>
          </cell>
          <cell r="AJ13">
            <v>1977.0563</v>
          </cell>
          <cell r="AK13">
            <v>2012.5681</v>
          </cell>
          <cell r="AL13">
            <v>2069.7015999999999</v>
          </cell>
          <cell r="AM13">
            <v>1950.8262</v>
          </cell>
        </row>
        <row r="14">
          <cell r="I14">
            <v>12</v>
          </cell>
          <cell r="J14" t="str">
            <v>Atlanta</v>
          </cell>
          <cell r="K14">
            <v>936.75030000000004</v>
          </cell>
          <cell r="L14">
            <v>746.279</v>
          </cell>
          <cell r="M14">
            <v>748.3021</v>
          </cell>
          <cell r="N14">
            <v>663.5231</v>
          </cell>
          <cell r="O14">
            <v>542.73990000000003</v>
          </cell>
          <cell r="P14">
            <v>733.48869999999999</v>
          </cell>
          <cell r="Q14">
            <v>604.60910000000001</v>
          </cell>
          <cell r="R14">
            <v>226.73230000000001</v>
          </cell>
          <cell r="S14">
            <v>400.62740000000002</v>
          </cell>
          <cell r="T14">
            <v>553.93550000000005</v>
          </cell>
          <cell r="U14">
            <v>619.74639999999999</v>
          </cell>
          <cell r="V14">
            <v>100000</v>
          </cell>
          <cell r="W14">
            <v>425.49720000000002</v>
          </cell>
          <cell r="X14">
            <v>588.1114</v>
          </cell>
          <cell r="Y14">
            <v>668.24300000000005</v>
          </cell>
          <cell r="Z14">
            <v>336.5489</v>
          </cell>
          <cell r="AA14">
            <v>424.91910000000001</v>
          </cell>
          <cell r="AB14">
            <v>907.23260000000005</v>
          </cell>
          <cell r="AC14">
            <v>701.61429999999996</v>
          </cell>
          <cell r="AD14">
            <v>721.28160000000003</v>
          </cell>
          <cell r="AE14">
            <v>756.25639999999999</v>
          </cell>
          <cell r="AF14">
            <v>879.24680000000001</v>
          </cell>
          <cell r="AG14">
            <v>1212.6016</v>
          </cell>
          <cell r="AH14">
            <v>1583.6269</v>
          </cell>
          <cell r="AI14">
            <v>1591.3803</v>
          </cell>
          <cell r="AJ14">
            <v>1937.7155</v>
          </cell>
          <cell r="AK14">
            <v>2087.1831000000002</v>
          </cell>
          <cell r="AL14">
            <v>2127.9348</v>
          </cell>
          <cell r="AM14">
            <v>2171.8332</v>
          </cell>
        </row>
        <row r="15">
          <cell r="I15">
            <v>13</v>
          </cell>
          <cell r="J15" t="str">
            <v>Indiana</v>
          </cell>
          <cell r="K15">
            <v>807.30529999999999</v>
          </cell>
          <cell r="L15">
            <v>646.77549999999997</v>
          </cell>
          <cell r="M15">
            <v>645.9692</v>
          </cell>
          <cell r="N15">
            <v>583.96270000000004</v>
          </cell>
          <cell r="O15">
            <v>492.79289999999997</v>
          </cell>
          <cell r="P15">
            <v>440.78949999999998</v>
          </cell>
          <cell r="Q15">
            <v>1023.5996</v>
          </cell>
          <cell r="R15">
            <v>427.9271</v>
          </cell>
          <cell r="S15">
            <v>819.52440000000001</v>
          </cell>
          <cell r="T15">
            <v>263.48750000000001</v>
          </cell>
          <cell r="U15">
            <v>252.85669999999999</v>
          </cell>
          <cell r="V15">
            <v>425.49720000000002</v>
          </cell>
          <cell r="W15">
            <v>100000</v>
          </cell>
          <cell r="X15">
            <v>166.33840000000001</v>
          </cell>
          <cell r="Y15">
            <v>244.1285</v>
          </cell>
          <cell r="Z15">
            <v>384.11520000000002</v>
          </cell>
          <cell r="AA15">
            <v>712.21119999999996</v>
          </cell>
          <cell r="AB15">
            <v>511.87259999999998</v>
          </cell>
          <cell r="AC15">
            <v>865.36379999999997</v>
          </cell>
          <cell r="AD15">
            <v>763.8836</v>
          </cell>
          <cell r="AE15">
            <v>689.4538</v>
          </cell>
          <cell r="AF15">
            <v>996.9923</v>
          </cell>
          <cell r="AG15">
            <v>1002.0055</v>
          </cell>
          <cell r="AH15">
            <v>1357.6706999999999</v>
          </cell>
          <cell r="AI15">
            <v>1499.0840000000001</v>
          </cell>
          <cell r="AJ15">
            <v>1811.2409</v>
          </cell>
          <cell r="AK15">
            <v>1887.0987</v>
          </cell>
          <cell r="AL15">
            <v>1938.7607</v>
          </cell>
          <cell r="AM15">
            <v>1885.4350999999999</v>
          </cell>
        </row>
        <row r="16">
          <cell r="I16">
            <v>14</v>
          </cell>
          <cell r="J16" t="str">
            <v>Chicago</v>
          </cell>
          <cell r="K16">
            <v>852.84580000000005</v>
          </cell>
          <cell r="L16">
            <v>717.10720000000003</v>
          </cell>
          <cell r="M16">
            <v>715.27750000000003</v>
          </cell>
          <cell r="N16">
            <v>668.11189999999999</v>
          </cell>
          <cell r="O16">
            <v>598.02480000000003</v>
          </cell>
          <cell r="P16">
            <v>438.88690000000003</v>
          </cell>
          <cell r="Q16">
            <v>1188.9911999999999</v>
          </cell>
          <cell r="R16">
            <v>589.26509999999996</v>
          </cell>
          <cell r="S16">
            <v>984.75480000000005</v>
          </cell>
          <cell r="T16">
            <v>310.73820000000001</v>
          </cell>
          <cell r="U16">
            <v>233.8192</v>
          </cell>
          <cell r="V16">
            <v>588.1114</v>
          </cell>
          <cell r="W16">
            <v>166.33840000000001</v>
          </cell>
          <cell r="X16">
            <v>100000</v>
          </cell>
          <cell r="Y16">
            <v>81.233400000000003</v>
          </cell>
          <cell r="Z16">
            <v>482.50420000000003</v>
          </cell>
          <cell r="AA16">
            <v>833.55409999999995</v>
          </cell>
          <cell r="AB16">
            <v>353.70339999999999</v>
          </cell>
          <cell r="AC16">
            <v>940.14930000000004</v>
          </cell>
          <cell r="AD16">
            <v>802.75189999999998</v>
          </cell>
          <cell r="AE16">
            <v>691.34389999999996</v>
          </cell>
          <cell r="AF16">
            <v>1048.7755999999999</v>
          </cell>
          <cell r="AG16">
            <v>918.91060000000004</v>
          </cell>
          <cell r="AH16">
            <v>1258.4918</v>
          </cell>
          <cell r="AI16">
            <v>1451.9833000000001</v>
          </cell>
          <cell r="AJ16">
            <v>1745.0107</v>
          </cell>
          <cell r="AK16">
            <v>1790.9492</v>
          </cell>
          <cell r="AL16">
            <v>1846.3190999999999</v>
          </cell>
          <cell r="AM16">
            <v>1756.3861999999999</v>
          </cell>
        </row>
        <row r="17">
          <cell r="I17">
            <v>15</v>
          </cell>
          <cell r="J17" t="str">
            <v>Milwaukee</v>
          </cell>
          <cell r="K17">
            <v>857.88580000000002</v>
          </cell>
          <cell r="L17">
            <v>736.55420000000004</v>
          </cell>
          <cell r="M17">
            <v>734.25350000000003</v>
          </cell>
          <cell r="N17">
            <v>695.28599999999994</v>
          </cell>
          <cell r="O17">
            <v>636.95749999999998</v>
          </cell>
          <cell r="P17">
            <v>431.971</v>
          </cell>
          <cell r="Q17">
            <v>1267.7279000000001</v>
          </cell>
          <cell r="R17">
            <v>659.30970000000002</v>
          </cell>
          <cell r="S17">
            <v>1063.643</v>
          </cell>
          <cell r="T17">
            <v>336.59469999999999</v>
          </cell>
          <cell r="U17">
            <v>238.35910000000001</v>
          </cell>
          <cell r="V17">
            <v>668.24300000000005</v>
          </cell>
          <cell r="W17">
            <v>244.1285</v>
          </cell>
          <cell r="X17">
            <v>81.233400000000003</v>
          </cell>
          <cell r="Y17">
            <v>100000</v>
          </cell>
          <cell r="Z17">
            <v>557.21370000000002</v>
          </cell>
          <cell r="AA17">
            <v>910.84280000000001</v>
          </cell>
          <cell r="AB17">
            <v>298.53199999999998</v>
          </cell>
          <cell r="AC17">
            <v>1005.095</v>
          </cell>
          <cell r="AD17">
            <v>856.86770000000001</v>
          </cell>
          <cell r="AE17">
            <v>732.82219999999995</v>
          </cell>
          <cell r="AF17">
            <v>1105.5416</v>
          </cell>
          <cell r="AG17">
            <v>914.96839999999997</v>
          </cell>
          <cell r="AH17">
            <v>1242.1822</v>
          </cell>
          <cell r="AI17">
            <v>1463.8880999999999</v>
          </cell>
          <cell r="AJ17">
            <v>1745.6967</v>
          </cell>
          <cell r="AK17">
            <v>1774.4077</v>
          </cell>
          <cell r="AL17">
            <v>1831.8425</v>
          </cell>
          <cell r="AM17">
            <v>1718.4647</v>
          </cell>
        </row>
        <row r="18">
          <cell r="I18">
            <v>16</v>
          </cell>
          <cell r="J18" t="str">
            <v>Memphis</v>
          </cell>
          <cell r="K18">
            <v>1136.9348</v>
          </cell>
          <cell r="L18">
            <v>956.12890000000004</v>
          </cell>
          <cell r="M18">
            <v>956.70899999999995</v>
          </cell>
          <cell r="N18">
            <v>879.52210000000002</v>
          </cell>
          <cell r="O18">
            <v>764.84460000000001</v>
          </cell>
          <cell r="P18">
            <v>817.54610000000002</v>
          </cell>
          <cell r="Q18">
            <v>871.80880000000002</v>
          </cell>
          <cell r="R18">
            <v>521.11289999999997</v>
          </cell>
          <cell r="S18">
            <v>681.91759999999999</v>
          </cell>
          <cell r="T18">
            <v>630.93240000000003</v>
          </cell>
          <cell r="U18">
            <v>636.95680000000004</v>
          </cell>
          <cell r="V18">
            <v>336.5489</v>
          </cell>
          <cell r="W18">
            <v>384.11520000000002</v>
          </cell>
          <cell r="X18">
            <v>482.50420000000003</v>
          </cell>
          <cell r="Y18">
            <v>557.21370000000002</v>
          </cell>
          <cell r="Z18">
            <v>100000</v>
          </cell>
          <cell r="AA18">
            <v>357.58920000000001</v>
          </cell>
          <cell r="AB18">
            <v>700.04100000000005</v>
          </cell>
          <cell r="AC18">
            <v>483.69630000000001</v>
          </cell>
          <cell r="AD18">
            <v>420.464</v>
          </cell>
          <cell r="AE18">
            <v>422.351</v>
          </cell>
          <cell r="AF18">
            <v>628.74749999999995</v>
          </cell>
          <cell r="AG18">
            <v>880.38099999999997</v>
          </cell>
          <cell r="AH18">
            <v>1250.9712999999999</v>
          </cell>
          <cell r="AI18">
            <v>1262.5671</v>
          </cell>
          <cell r="AJ18">
            <v>1604.8876</v>
          </cell>
          <cell r="AK18">
            <v>1750.9068</v>
          </cell>
          <cell r="AL18">
            <v>1791.3967</v>
          </cell>
          <cell r="AM18">
            <v>1849.4197999999999</v>
          </cell>
        </row>
        <row r="19">
          <cell r="I19">
            <v>17</v>
          </cell>
          <cell r="J19" t="str">
            <v>New Orleans</v>
          </cell>
          <cell r="K19">
            <v>1359.7004999999999</v>
          </cell>
          <cell r="L19">
            <v>1169.6017999999999</v>
          </cell>
          <cell r="M19">
            <v>1171.4467</v>
          </cell>
          <cell r="N19">
            <v>1087.1252999999999</v>
          </cell>
          <cell r="O19">
            <v>966.21640000000002</v>
          </cell>
          <cell r="P19">
            <v>1113.1854000000001</v>
          </cell>
          <cell r="Q19">
            <v>669.67259999999999</v>
          </cell>
          <cell r="R19">
            <v>649.78629999999998</v>
          </cell>
          <cell r="S19">
            <v>533.84119999999996</v>
          </cell>
          <cell r="T19">
            <v>924.38430000000005</v>
          </cell>
          <cell r="U19">
            <v>957.34590000000003</v>
          </cell>
          <cell r="V19">
            <v>424.91910000000001</v>
          </cell>
          <cell r="W19">
            <v>712.21119999999996</v>
          </cell>
          <cell r="X19">
            <v>833.55409999999995</v>
          </cell>
          <cell r="Y19">
            <v>910.84280000000001</v>
          </cell>
          <cell r="Z19">
            <v>357.58920000000001</v>
          </cell>
          <cell r="AA19">
            <v>100000</v>
          </cell>
          <cell r="AB19">
            <v>1051.1137000000001</v>
          </cell>
          <cell r="AC19">
            <v>317.29410000000001</v>
          </cell>
          <cell r="AD19">
            <v>443.15820000000002</v>
          </cell>
          <cell r="AE19">
            <v>575.78150000000005</v>
          </cell>
          <cell r="AF19">
            <v>503.66890000000001</v>
          </cell>
          <cell r="AG19">
            <v>1081.7150999999999</v>
          </cell>
          <cell r="AH19">
            <v>1434.2920999999999</v>
          </cell>
          <cell r="AI19">
            <v>1314.9239</v>
          </cell>
          <cell r="AJ19">
            <v>1673.3788999999999</v>
          </cell>
          <cell r="AK19">
            <v>1884.6953000000001</v>
          </cell>
          <cell r="AL19">
            <v>1913.2013999999999</v>
          </cell>
          <cell r="AM19">
            <v>2062.0063</v>
          </cell>
        </row>
        <row r="20">
          <cell r="I20">
            <v>18</v>
          </cell>
          <cell r="J20" t="str">
            <v>Minnesota</v>
          </cell>
          <cell r="K20">
            <v>1124.018</v>
          </cell>
          <cell r="L20">
            <v>1021.6174999999999</v>
          </cell>
          <cell r="M20">
            <v>1018.8946</v>
          </cell>
          <cell r="N20">
            <v>987.01700000000005</v>
          </cell>
          <cell r="O20">
            <v>934.572</v>
          </cell>
          <cell r="P20">
            <v>694.23770000000002</v>
          </cell>
          <cell r="Q20">
            <v>1511.3304000000001</v>
          </cell>
          <cell r="R20">
            <v>939.70010000000002</v>
          </cell>
          <cell r="S20">
            <v>1307.7508</v>
          </cell>
          <cell r="T20">
            <v>631.61929999999995</v>
          </cell>
          <cell r="U20">
            <v>525.03179999999998</v>
          </cell>
          <cell r="V20">
            <v>907.23260000000005</v>
          </cell>
          <cell r="W20">
            <v>511.87259999999998</v>
          </cell>
          <cell r="X20">
            <v>353.70339999999999</v>
          </cell>
          <cell r="Y20">
            <v>298.53199999999998</v>
          </cell>
          <cell r="Z20">
            <v>700.04100000000005</v>
          </cell>
          <cell r="AA20">
            <v>1051.1137000000001</v>
          </cell>
          <cell r="AB20">
            <v>100000</v>
          </cell>
          <cell r="AC20">
            <v>1056.3894</v>
          </cell>
          <cell r="AD20">
            <v>861.90049999999997</v>
          </cell>
          <cell r="AE20">
            <v>693.52739999999994</v>
          </cell>
          <cell r="AF20">
            <v>1109.0542</v>
          </cell>
          <cell r="AG20">
            <v>699.64980000000003</v>
          </cell>
          <cell r="AH20">
            <v>986.70809999999994</v>
          </cell>
          <cell r="AI20">
            <v>1279.2284</v>
          </cell>
          <cell r="AJ20">
            <v>1524.6780000000001</v>
          </cell>
          <cell r="AK20">
            <v>1513.3934999999999</v>
          </cell>
          <cell r="AL20">
            <v>1574.6079999999999</v>
          </cell>
          <cell r="AM20">
            <v>1426.0062</v>
          </cell>
        </row>
        <row r="21">
          <cell r="I21">
            <v>19</v>
          </cell>
          <cell r="J21" t="str">
            <v>Houston</v>
          </cell>
          <cell r="K21">
            <v>1605.6427000000001</v>
          </cell>
          <cell r="L21">
            <v>1419.5355</v>
          </cell>
          <cell r="M21">
            <v>1420.6786999999999</v>
          </cell>
          <cell r="N21">
            <v>1339.4563000000001</v>
          </cell>
          <cell r="O21">
            <v>1220.2469000000001</v>
          </cell>
          <cell r="P21">
            <v>1301.2344000000001</v>
          </cell>
          <cell r="Q21">
            <v>967.89009999999996</v>
          </cell>
          <cell r="R21">
            <v>926.94910000000004</v>
          </cell>
          <cell r="S21">
            <v>848.447</v>
          </cell>
          <cell r="T21">
            <v>1114.4384</v>
          </cell>
          <cell r="U21">
            <v>1117.731</v>
          </cell>
          <cell r="V21">
            <v>701.61429999999996</v>
          </cell>
          <cell r="W21">
            <v>865.36379999999997</v>
          </cell>
          <cell r="X21">
            <v>940.14930000000004</v>
          </cell>
          <cell r="Y21">
            <v>1005.095</v>
          </cell>
          <cell r="Z21">
            <v>483.69630000000001</v>
          </cell>
          <cell r="AA21">
            <v>317.29410000000001</v>
          </cell>
          <cell r="AB21">
            <v>1056.3894</v>
          </cell>
          <cell r="AC21">
            <v>100000</v>
          </cell>
          <cell r="AD21">
            <v>226.26169999999999</v>
          </cell>
          <cell r="AE21">
            <v>413.15859999999998</v>
          </cell>
          <cell r="AF21">
            <v>186.47190000000001</v>
          </cell>
          <cell r="AG21">
            <v>879.79280000000006</v>
          </cell>
          <cell r="AH21">
            <v>1201.1181999999999</v>
          </cell>
          <cell r="AI21">
            <v>1016.3989</v>
          </cell>
          <cell r="AJ21">
            <v>1375.3387</v>
          </cell>
          <cell r="AK21">
            <v>1611.4518</v>
          </cell>
          <cell r="AL21">
            <v>1633.7454</v>
          </cell>
          <cell r="AM21">
            <v>1836.0504000000001</v>
          </cell>
        </row>
        <row r="22">
          <cell r="I22">
            <v>20</v>
          </cell>
          <cell r="J22" t="str">
            <v>Dallas</v>
          </cell>
          <cell r="K22">
            <v>1551.7129</v>
          </cell>
          <cell r="L22">
            <v>1373.9818</v>
          </cell>
          <cell r="M22">
            <v>1374.3615</v>
          </cell>
          <cell r="N22">
            <v>1298.6030000000001</v>
          </cell>
          <cell r="O22">
            <v>1184.9509</v>
          </cell>
          <cell r="P22">
            <v>1204.0177000000001</v>
          </cell>
          <cell r="Q22">
            <v>1111.8287</v>
          </cell>
          <cell r="R22">
            <v>930.82069999999999</v>
          </cell>
          <cell r="S22">
            <v>962.6857</v>
          </cell>
          <cell r="T22">
            <v>1025.7900999999999</v>
          </cell>
          <cell r="U22">
            <v>1006.9081</v>
          </cell>
          <cell r="V22">
            <v>721.28160000000003</v>
          </cell>
          <cell r="W22">
            <v>763.8836</v>
          </cell>
          <cell r="X22">
            <v>802.75189999999998</v>
          </cell>
          <cell r="Y22">
            <v>856.86770000000001</v>
          </cell>
          <cell r="Z22">
            <v>420.464</v>
          </cell>
          <cell r="AA22">
            <v>443.15820000000002</v>
          </cell>
          <cell r="AB22">
            <v>861.90049999999997</v>
          </cell>
          <cell r="AC22">
            <v>226.26169999999999</v>
          </cell>
          <cell r="AD22">
            <v>100000</v>
          </cell>
          <cell r="AE22">
            <v>188.61369999999999</v>
          </cell>
          <cell r="AF22">
            <v>250.9769</v>
          </cell>
          <cell r="AG22">
            <v>662.46069999999997</v>
          </cell>
          <cell r="AH22">
            <v>999.41880000000003</v>
          </cell>
          <cell r="AI22">
            <v>885.3596</v>
          </cell>
          <cell r="AJ22">
            <v>1240.8240000000001</v>
          </cell>
          <cell r="AK22">
            <v>1441.6079</v>
          </cell>
          <cell r="AL22">
            <v>1470.8132000000001</v>
          </cell>
          <cell r="AM22">
            <v>1632.1110000000001</v>
          </cell>
        </row>
        <row r="23">
          <cell r="I23">
            <v>21</v>
          </cell>
          <cell r="J23" t="str">
            <v>OKC</v>
          </cell>
          <cell r="K23">
            <v>1495.7674999999999</v>
          </cell>
          <cell r="L23">
            <v>1328.405</v>
          </cell>
          <cell r="M23">
            <v>1328.1251</v>
          </cell>
          <cell r="N23">
            <v>1258.7003</v>
          </cell>
          <cell r="O23">
            <v>1152.7231999999999</v>
          </cell>
          <cell r="P23">
            <v>1117.3583000000001</v>
          </cell>
          <cell r="Q23">
            <v>1226.0138999999999</v>
          </cell>
          <cell r="R23">
            <v>940.87890000000004</v>
          </cell>
          <cell r="S23">
            <v>1058.1006</v>
          </cell>
          <cell r="T23">
            <v>951.70039999999995</v>
          </cell>
          <cell r="U23">
            <v>913.26930000000004</v>
          </cell>
          <cell r="V23">
            <v>756.25639999999999</v>
          </cell>
          <cell r="W23">
            <v>689.4538</v>
          </cell>
          <cell r="X23">
            <v>691.34389999999996</v>
          </cell>
          <cell r="Y23">
            <v>732.82219999999995</v>
          </cell>
          <cell r="Z23">
            <v>422.351</v>
          </cell>
          <cell r="AA23">
            <v>575.78150000000005</v>
          </cell>
          <cell r="AB23">
            <v>693.52739999999994</v>
          </cell>
          <cell r="AC23">
            <v>413.15859999999998</v>
          </cell>
          <cell r="AD23">
            <v>188.61369999999999</v>
          </cell>
          <cell r="AE23">
            <v>100000</v>
          </cell>
          <cell r="AF23">
            <v>419.42590000000001</v>
          </cell>
          <cell r="AG23">
            <v>505.99810000000002</v>
          </cell>
          <cell r="AH23">
            <v>863.66629999999998</v>
          </cell>
          <cell r="AI23">
            <v>841.87180000000001</v>
          </cell>
          <cell r="AJ23">
            <v>1182.5440000000001</v>
          </cell>
          <cell r="AK23">
            <v>1340.7076</v>
          </cell>
          <cell r="AL23">
            <v>1377.4658999999999</v>
          </cell>
          <cell r="AM23">
            <v>1487.0922</v>
          </cell>
        </row>
        <row r="24">
          <cell r="I24">
            <v>22</v>
          </cell>
          <cell r="J24" t="str">
            <v>San Antonio</v>
          </cell>
          <cell r="K24">
            <v>1764.2893999999999</v>
          </cell>
          <cell r="L24">
            <v>1581.0718999999999</v>
          </cell>
          <cell r="M24">
            <v>1581.9168</v>
          </cell>
          <cell r="N24">
            <v>1502.5465999999999</v>
          </cell>
          <cell r="O24">
            <v>1384.9513999999999</v>
          </cell>
          <cell r="P24">
            <v>1437.5442</v>
          </cell>
          <cell r="Q24">
            <v>1145.9169999999999</v>
          </cell>
          <cell r="R24">
            <v>1102.3556000000001</v>
          </cell>
          <cell r="S24">
            <v>1033.3275000000001</v>
          </cell>
          <cell r="T24">
            <v>1254.741</v>
          </cell>
          <cell r="U24">
            <v>1245.2059999999999</v>
          </cell>
          <cell r="V24">
            <v>879.24680000000001</v>
          </cell>
          <cell r="W24">
            <v>996.9923</v>
          </cell>
          <cell r="X24">
            <v>1048.7755999999999</v>
          </cell>
          <cell r="Y24">
            <v>1105.5416</v>
          </cell>
          <cell r="Z24">
            <v>628.74749999999995</v>
          </cell>
          <cell r="AA24">
            <v>503.66890000000001</v>
          </cell>
          <cell r="AB24">
            <v>1109.0542</v>
          </cell>
          <cell r="AC24">
            <v>186.47190000000001</v>
          </cell>
          <cell r="AD24">
            <v>250.9769</v>
          </cell>
          <cell r="AE24">
            <v>419.42590000000001</v>
          </cell>
          <cell r="AF24">
            <v>100000</v>
          </cell>
          <cell r="AG24">
            <v>803.43409999999994</v>
          </cell>
          <cell r="AH24">
            <v>1089.7317</v>
          </cell>
          <cell r="AI24">
            <v>850.80229999999995</v>
          </cell>
          <cell r="AJ24">
            <v>1207.9518</v>
          </cell>
          <cell r="AK24">
            <v>1463.3545999999999</v>
          </cell>
          <cell r="AL24">
            <v>1480.5741</v>
          </cell>
          <cell r="AM24">
            <v>1721.7695000000001</v>
          </cell>
        </row>
        <row r="25">
          <cell r="I25">
            <v>23</v>
          </cell>
          <cell r="J25" t="str">
            <v>Denver</v>
          </cell>
          <cell r="K25">
            <v>1770.4358999999999</v>
          </cell>
          <cell r="L25">
            <v>1634.1461999999999</v>
          </cell>
          <cell r="M25">
            <v>1632.5534</v>
          </cell>
          <cell r="N25">
            <v>1579.7343000000001</v>
          </cell>
          <cell r="O25">
            <v>1494.6039000000001</v>
          </cell>
          <cell r="P25">
            <v>1346.9382000000001</v>
          </cell>
          <cell r="Q25">
            <v>1726.7374</v>
          </cell>
          <cell r="R25">
            <v>1359.7212999999999</v>
          </cell>
          <cell r="S25">
            <v>1551.1044999999999</v>
          </cell>
          <cell r="T25">
            <v>1228.223</v>
          </cell>
          <cell r="U25">
            <v>1148.6357</v>
          </cell>
          <cell r="V25">
            <v>1212.6016</v>
          </cell>
          <cell r="W25">
            <v>1002.0055</v>
          </cell>
          <cell r="X25">
            <v>918.91060000000004</v>
          </cell>
          <cell r="Y25">
            <v>914.96839999999997</v>
          </cell>
          <cell r="Z25">
            <v>880.38099999999997</v>
          </cell>
          <cell r="AA25">
            <v>1081.7150999999999</v>
          </cell>
          <cell r="AB25">
            <v>699.64980000000003</v>
          </cell>
          <cell r="AC25">
            <v>879.79280000000006</v>
          </cell>
          <cell r="AD25">
            <v>662.46069999999997</v>
          </cell>
          <cell r="AE25">
            <v>505.99810000000002</v>
          </cell>
          <cell r="AF25">
            <v>803.43409999999994</v>
          </cell>
          <cell r="AG25">
            <v>100000</v>
          </cell>
          <cell r="AH25">
            <v>371.029</v>
          </cell>
          <cell r="AI25">
            <v>585.34109999999998</v>
          </cell>
          <cell r="AJ25">
            <v>831.88030000000003</v>
          </cell>
          <cell r="AK25">
            <v>888.1825</v>
          </cell>
          <cell r="AL25">
            <v>937.5018</v>
          </cell>
          <cell r="AM25">
            <v>981.7672</v>
          </cell>
        </row>
        <row r="26">
          <cell r="I26">
            <v>24</v>
          </cell>
          <cell r="J26" t="str">
            <v>Utah</v>
          </cell>
          <cell r="K26">
            <v>2099.0509999999999</v>
          </cell>
          <cell r="L26">
            <v>1975.1251</v>
          </cell>
          <cell r="M26">
            <v>1973.1574000000001</v>
          </cell>
          <cell r="N26">
            <v>1926.0009</v>
          </cell>
          <cell r="O26">
            <v>1847.55</v>
          </cell>
          <cell r="P26">
            <v>1669.8271</v>
          </cell>
          <cell r="Q26">
            <v>2089.5715</v>
          </cell>
          <cell r="R26">
            <v>1728.1955</v>
          </cell>
          <cell r="S26">
            <v>1918.0284999999999</v>
          </cell>
          <cell r="T26">
            <v>1569.1143</v>
          </cell>
          <cell r="U26">
            <v>1480.2230999999999</v>
          </cell>
          <cell r="V26">
            <v>1583.6269</v>
          </cell>
          <cell r="W26">
            <v>1357.6706999999999</v>
          </cell>
          <cell r="X26">
            <v>1258.4918</v>
          </cell>
          <cell r="Y26">
            <v>1242.1822</v>
          </cell>
          <cell r="Z26">
            <v>1250.9712999999999</v>
          </cell>
          <cell r="AA26">
            <v>1434.2920999999999</v>
          </cell>
          <cell r="AB26">
            <v>986.70809999999994</v>
          </cell>
          <cell r="AC26">
            <v>1201.1181999999999</v>
          </cell>
          <cell r="AD26">
            <v>999.41880000000003</v>
          </cell>
          <cell r="AE26">
            <v>863.66629999999998</v>
          </cell>
          <cell r="AF26">
            <v>1089.7317</v>
          </cell>
          <cell r="AG26">
            <v>371.029</v>
          </cell>
          <cell r="AH26">
            <v>100000</v>
          </cell>
          <cell r="AI26">
            <v>505.03449999999998</v>
          </cell>
          <cell r="AJ26">
            <v>580.78579999999999</v>
          </cell>
          <cell r="AK26">
            <v>532.55669999999998</v>
          </cell>
          <cell r="AL26">
            <v>589.9384</v>
          </cell>
          <cell r="AM26">
            <v>634.96609999999998</v>
          </cell>
        </row>
        <row r="27">
          <cell r="I27">
            <v>25</v>
          </cell>
          <cell r="J27" t="str">
            <v>Phoenix</v>
          </cell>
          <cell r="K27">
            <v>2299.7238000000002</v>
          </cell>
          <cell r="L27">
            <v>2145.8119999999999</v>
          </cell>
          <cell r="M27">
            <v>2144.9450999999999</v>
          </cell>
          <cell r="N27">
            <v>2081.8696</v>
          </cell>
          <cell r="O27">
            <v>1982.5442</v>
          </cell>
          <cell r="P27">
            <v>1890.318</v>
          </cell>
          <cell r="Q27">
            <v>1981.4683</v>
          </cell>
          <cell r="R27">
            <v>1782.6036999999999</v>
          </cell>
          <cell r="S27">
            <v>1845.0246999999999</v>
          </cell>
          <cell r="T27">
            <v>1749.2929999999999</v>
          </cell>
          <cell r="U27">
            <v>1685.8014000000001</v>
          </cell>
          <cell r="V27">
            <v>1591.3803</v>
          </cell>
          <cell r="W27">
            <v>1499.0840000000001</v>
          </cell>
          <cell r="X27">
            <v>1451.9833000000001</v>
          </cell>
          <cell r="Y27">
            <v>1463.8880999999999</v>
          </cell>
          <cell r="Z27">
            <v>1262.5671</v>
          </cell>
          <cell r="AA27">
            <v>1314.9239</v>
          </cell>
          <cell r="AB27">
            <v>1279.2284</v>
          </cell>
          <cell r="AC27">
            <v>1016.3989</v>
          </cell>
          <cell r="AD27">
            <v>885.3596</v>
          </cell>
          <cell r="AE27">
            <v>841.87180000000001</v>
          </cell>
          <cell r="AF27">
            <v>850.80229999999995</v>
          </cell>
          <cell r="AG27">
            <v>585.34109999999998</v>
          </cell>
          <cell r="AH27">
            <v>505.03449999999998</v>
          </cell>
          <cell r="AI27">
            <v>100000</v>
          </cell>
          <cell r="AJ27">
            <v>359.0557</v>
          </cell>
          <cell r="AK27">
            <v>638.56129999999996</v>
          </cell>
          <cell r="AL27">
            <v>642.5376</v>
          </cell>
          <cell r="AM27">
            <v>1005.9736</v>
          </cell>
        </row>
        <row r="28">
          <cell r="I28">
            <v>26</v>
          </cell>
          <cell r="J28" t="str">
            <v>Lakers</v>
          </cell>
          <cell r="K28">
            <v>2597.8553000000002</v>
          </cell>
          <cell r="L28">
            <v>2454.1846999999998</v>
          </cell>
          <cell r="M28">
            <v>2452.9220999999998</v>
          </cell>
          <cell r="N28">
            <v>2394.8984999999998</v>
          </cell>
          <cell r="O28">
            <v>2301.5630000000001</v>
          </cell>
          <cell r="P28">
            <v>2177.4133000000002</v>
          </cell>
          <cell r="Q28">
            <v>2340.4369000000002</v>
          </cell>
          <cell r="R28">
            <v>2121.2764999999999</v>
          </cell>
          <cell r="S28">
            <v>2202.3519999999999</v>
          </cell>
          <cell r="T28">
            <v>2050.9832000000001</v>
          </cell>
          <cell r="U28">
            <v>1977.0563</v>
          </cell>
          <cell r="V28">
            <v>1937.7155</v>
          </cell>
          <cell r="W28">
            <v>1811.2409</v>
          </cell>
          <cell r="X28">
            <v>1745.0107</v>
          </cell>
          <cell r="Y28">
            <v>1745.6967</v>
          </cell>
          <cell r="Z28">
            <v>1604.8876</v>
          </cell>
          <cell r="AA28">
            <v>1673.3788999999999</v>
          </cell>
          <cell r="AB28">
            <v>1524.6780000000001</v>
          </cell>
          <cell r="AC28">
            <v>1375.3387</v>
          </cell>
          <cell r="AD28">
            <v>1240.8240000000001</v>
          </cell>
          <cell r="AE28">
            <v>1182.5440000000001</v>
          </cell>
          <cell r="AF28">
            <v>1207.9518</v>
          </cell>
          <cell r="AG28">
            <v>831.88030000000003</v>
          </cell>
          <cell r="AH28">
            <v>580.78579999999999</v>
          </cell>
          <cell r="AI28">
            <v>359.0557</v>
          </cell>
          <cell r="AJ28">
            <v>100000</v>
          </cell>
          <cell r="AK28">
            <v>365.6397</v>
          </cell>
          <cell r="AL28">
            <v>337.67669999999998</v>
          </cell>
          <cell r="AM28">
            <v>826.13070000000005</v>
          </cell>
        </row>
        <row r="29">
          <cell r="I29">
            <v>27</v>
          </cell>
          <cell r="J29" t="str">
            <v>Sacramento</v>
          </cell>
          <cell r="K29">
            <v>2630.5880000000002</v>
          </cell>
          <cell r="L29">
            <v>2507.6743000000001</v>
          </cell>
          <cell r="M29">
            <v>2505.7112999999999</v>
          </cell>
          <cell r="N29">
            <v>2458.1889999999999</v>
          </cell>
          <cell r="O29">
            <v>2378.3107</v>
          </cell>
          <cell r="P29">
            <v>2200.8919000000001</v>
          </cell>
          <cell r="Q29">
            <v>2553.1003000000001</v>
          </cell>
          <cell r="R29">
            <v>2245.6206999999999</v>
          </cell>
          <cell r="S29">
            <v>2395.8211000000001</v>
          </cell>
          <cell r="T29">
            <v>2101.6145000000001</v>
          </cell>
          <cell r="U29">
            <v>2012.5681</v>
          </cell>
          <cell r="V29">
            <v>2087.1831000000002</v>
          </cell>
          <cell r="W29">
            <v>1887.0987</v>
          </cell>
          <cell r="X29">
            <v>1790.9492</v>
          </cell>
          <cell r="Y29">
            <v>1774.4077</v>
          </cell>
          <cell r="Z29">
            <v>1750.9068</v>
          </cell>
          <cell r="AA29">
            <v>1884.6953000000001</v>
          </cell>
          <cell r="AB29">
            <v>1513.3934999999999</v>
          </cell>
          <cell r="AC29">
            <v>1611.4518</v>
          </cell>
          <cell r="AD29">
            <v>1441.6079</v>
          </cell>
          <cell r="AE29">
            <v>1340.7076</v>
          </cell>
          <cell r="AF29">
            <v>1463.3545999999999</v>
          </cell>
          <cell r="AG29">
            <v>888.1825</v>
          </cell>
          <cell r="AH29">
            <v>532.55669999999998</v>
          </cell>
          <cell r="AI29">
            <v>638.56129999999996</v>
          </cell>
          <cell r="AJ29">
            <v>365.6397</v>
          </cell>
          <cell r="AK29">
            <v>100000</v>
          </cell>
          <cell r="AL29">
            <v>72.336600000000004</v>
          </cell>
          <cell r="AM29">
            <v>478.66329999999999</v>
          </cell>
        </row>
        <row r="30">
          <cell r="I30">
            <v>28</v>
          </cell>
          <cell r="J30" t="str">
            <v>Golden State</v>
          </cell>
          <cell r="K30">
            <v>2688.9638</v>
          </cell>
          <cell r="L30">
            <v>2563.3906999999999</v>
          </cell>
          <cell r="M30">
            <v>2561.5129000000002</v>
          </cell>
          <cell r="N30">
            <v>2512.5843</v>
          </cell>
          <cell r="O30">
            <v>2430.7941999999998</v>
          </cell>
          <cell r="P30">
            <v>2259.7566999999999</v>
          </cell>
          <cell r="Q30">
            <v>2582.5745000000002</v>
          </cell>
          <cell r="R30">
            <v>2290.8506000000002</v>
          </cell>
          <cell r="S30">
            <v>2429.0097999999998</v>
          </cell>
          <cell r="T30">
            <v>2157.0558999999998</v>
          </cell>
          <cell r="U30">
            <v>2069.7015999999999</v>
          </cell>
          <cell r="V30">
            <v>2127.9348</v>
          </cell>
          <cell r="W30">
            <v>1938.7607</v>
          </cell>
          <cell r="X30">
            <v>1846.3190999999999</v>
          </cell>
          <cell r="Y30">
            <v>1831.8425</v>
          </cell>
          <cell r="Z30">
            <v>1791.3967</v>
          </cell>
          <cell r="AA30">
            <v>1913.2013999999999</v>
          </cell>
          <cell r="AB30">
            <v>1574.6079999999999</v>
          </cell>
          <cell r="AC30">
            <v>1633.7454</v>
          </cell>
          <cell r="AD30">
            <v>1470.8132000000001</v>
          </cell>
          <cell r="AE30">
            <v>1377.4658999999999</v>
          </cell>
          <cell r="AF30">
            <v>1480.5741</v>
          </cell>
          <cell r="AG30">
            <v>937.5018</v>
          </cell>
          <cell r="AH30">
            <v>589.9384</v>
          </cell>
          <cell r="AI30">
            <v>642.5376</v>
          </cell>
          <cell r="AJ30">
            <v>337.67669999999998</v>
          </cell>
          <cell r="AK30">
            <v>72.336600000000004</v>
          </cell>
          <cell r="AL30">
            <v>100000</v>
          </cell>
          <cell r="AM30">
            <v>537.54579999999999</v>
          </cell>
        </row>
        <row r="31">
          <cell r="K31">
            <v>2538.7438999999999</v>
          </cell>
          <cell r="L31">
            <v>2447.2622000000001</v>
          </cell>
          <cell r="M31">
            <v>2444.4533999999999</v>
          </cell>
          <cell r="N31">
            <v>2412.5036</v>
          </cell>
          <cell r="O31">
            <v>2353.4960000000001</v>
          </cell>
          <cell r="P31">
            <v>2113.9409000000001</v>
          </cell>
          <cell r="Q31">
            <v>2707.3514</v>
          </cell>
          <cell r="R31">
            <v>2289.5706</v>
          </cell>
          <cell r="S31">
            <v>2527.9967000000001</v>
          </cell>
          <cell r="T31">
            <v>2054.9659000000001</v>
          </cell>
          <cell r="U31">
            <v>1950.8262</v>
          </cell>
          <cell r="V31">
            <v>2171.8332</v>
          </cell>
          <cell r="W31">
            <v>1885.4350999999999</v>
          </cell>
          <cell r="X31">
            <v>1756.3861999999999</v>
          </cell>
          <cell r="Y31">
            <v>1718.4647</v>
          </cell>
          <cell r="Z31">
            <v>1849.4197999999999</v>
          </cell>
          <cell r="AA31">
            <v>2062.0063</v>
          </cell>
          <cell r="AB31">
            <v>1426.0062</v>
          </cell>
          <cell r="AC31">
            <v>1836.0504000000001</v>
          </cell>
          <cell r="AD31">
            <v>1632.1110000000001</v>
          </cell>
          <cell r="AE31">
            <v>1487.0922</v>
          </cell>
          <cell r="AF31">
            <v>1721.7695000000001</v>
          </cell>
          <cell r="AG31">
            <v>981.7672</v>
          </cell>
          <cell r="AH31">
            <v>634.96609999999998</v>
          </cell>
          <cell r="AI31">
            <v>1005.9736</v>
          </cell>
          <cell r="AJ31">
            <v>826.13070000000005</v>
          </cell>
          <cell r="AK31">
            <v>478.66329999999999</v>
          </cell>
          <cell r="AL31">
            <v>537.54579999999999</v>
          </cell>
          <cell r="AM31">
            <v>100000</v>
          </cell>
        </row>
        <row r="34">
          <cell r="K34">
            <v>813</v>
          </cell>
          <cell r="L34">
            <v>25</v>
          </cell>
          <cell r="M34">
            <v>19</v>
          </cell>
          <cell r="N34">
            <v>51</v>
          </cell>
          <cell r="O34">
            <v>91</v>
          </cell>
          <cell r="P34">
            <v>115</v>
          </cell>
          <cell r="Q34">
            <v>511</v>
          </cell>
          <cell r="R34">
            <v>261</v>
          </cell>
          <cell r="S34">
            <v>457</v>
          </cell>
          <cell r="T34">
            <v>171</v>
          </cell>
          <cell r="U34">
            <v>199</v>
          </cell>
          <cell r="V34">
            <v>359</v>
          </cell>
          <cell r="W34">
            <v>289</v>
          </cell>
          <cell r="X34">
            <v>307</v>
          </cell>
          <cell r="Y34">
            <v>311</v>
          </cell>
          <cell r="Z34">
            <v>465</v>
          </cell>
          <cell r="AA34">
            <v>543</v>
          </cell>
          <cell r="AB34">
            <v>463</v>
          </cell>
          <cell r="AC34">
            <v>617</v>
          </cell>
          <cell r="AD34">
            <v>599</v>
          </cell>
          <cell r="AE34">
            <v>585</v>
          </cell>
          <cell r="AF34">
            <v>653</v>
          </cell>
          <cell r="AG34">
            <v>655</v>
          </cell>
          <cell r="AH34">
            <v>725</v>
          </cell>
          <cell r="AI34">
            <v>757</v>
          </cell>
          <cell r="AJ34">
            <v>805</v>
          </cell>
          <cell r="AK34">
            <v>807</v>
          </cell>
          <cell r="AL34">
            <v>809</v>
          </cell>
          <cell r="AM34">
            <v>795</v>
          </cell>
        </row>
        <row r="35">
          <cell r="K35">
            <v>25</v>
          </cell>
          <cell r="L35">
            <v>813</v>
          </cell>
          <cell r="M35">
            <v>1</v>
          </cell>
          <cell r="N35">
            <v>7</v>
          </cell>
          <cell r="O35">
            <v>27</v>
          </cell>
          <cell r="P35">
            <v>73</v>
          </cell>
          <cell r="Q35">
            <v>439</v>
          </cell>
          <cell r="R35">
            <v>157</v>
          </cell>
          <cell r="S35">
            <v>357</v>
          </cell>
          <cell r="T35">
            <v>97</v>
          </cell>
          <cell r="U35">
            <v>143</v>
          </cell>
          <cell r="V35">
            <v>273</v>
          </cell>
          <cell r="W35">
            <v>219</v>
          </cell>
          <cell r="X35">
            <v>259</v>
          </cell>
          <cell r="Y35">
            <v>271</v>
          </cell>
          <cell r="Z35">
            <v>373</v>
          </cell>
          <cell r="AA35">
            <v>473</v>
          </cell>
          <cell r="AB35">
            <v>413</v>
          </cell>
          <cell r="AC35">
            <v>557</v>
          </cell>
          <cell r="AD35">
            <v>547</v>
          </cell>
          <cell r="AE35">
            <v>533</v>
          </cell>
          <cell r="AF35">
            <v>607</v>
          </cell>
          <cell r="AG35">
            <v>627</v>
          </cell>
          <cell r="AH35">
            <v>701</v>
          </cell>
          <cell r="AI35">
            <v>737</v>
          </cell>
          <cell r="AJ35">
            <v>783</v>
          </cell>
          <cell r="AK35">
            <v>789</v>
          </cell>
          <cell r="AL35">
            <v>801</v>
          </cell>
          <cell r="AM35">
            <v>779</v>
          </cell>
        </row>
        <row r="36">
          <cell r="K36">
            <v>19</v>
          </cell>
          <cell r="L36">
            <v>1</v>
          </cell>
          <cell r="M36">
            <v>813</v>
          </cell>
          <cell r="N36">
            <v>9</v>
          </cell>
          <cell r="O36">
            <v>31</v>
          </cell>
          <cell r="P36">
            <v>71</v>
          </cell>
          <cell r="Q36">
            <v>443</v>
          </cell>
          <cell r="R36">
            <v>163</v>
          </cell>
          <cell r="S36">
            <v>365</v>
          </cell>
          <cell r="T36">
            <v>95</v>
          </cell>
          <cell r="U36">
            <v>141</v>
          </cell>
          <cell r="V36">
            <v>275</v>
          </cell>
          <cell r="W36">
            <v>217</v>
          </cell>
          <cell r="X36">
            <v>257</v>
          </cell>
          <cell r="Y36">
            <v>269</v>
          </cell>
          <cell r="Z36">
            <v>375</v>
          </cell>
          <cell r="AA36">
            <v>475</v>
          </cell>
          <cell r="AB36">
            <v>411</v>
          </cell>
          <cell r="AC36">
            <v>559</v>
          </cell>
          <cell r="AD36">
            <v>549</v>
          </cell>
          <cell r="AE36">
            <v>531</v>
          </cell>
          <cell r="AF36">
            <v>609</v>
          </cell>
          <cell r="AG36">
            <v>623</v>
          </cell>
          <cell r="AH36">
            <v>699</v>
          </cell>
          <cell r="AI36">
            <v>735</v>
          </cell>
          <cell r="AJ36">
            <v>781</v>
          </cell>
          <cell r="AK36">
            <v>787</v>
          </cell>
          <cell r="AL36">
            <v>799</v>
          </cell>
          <cell r="AM36">
            <v>777</v>
          </cell>
        </row>
        <row r="37">
          <cell r="K37">
            <v>51</v>
          </cell>
          <cell r="L37">
            <v>7</v>
          </cell>
          <cell r="M37">
            <v>9</v>
          </cell>
          <cell r="N37">
            <v>813</v>
          </cell>
          <cell r="O37">
            <v>13</v>
          </cell>
          <cell r="P37">
            <v>67</v>
          </cell>
          <cell r="Q37">
            <v>407</v>
          </cell>
          <cell r="R37">
            <v>127</v>
          </cell>
          <cell r="S37">
            <v>313</v>
          </cell>
          <cell r="T37">
            <v>83</v>
          </cell>
          <cell r="U37">
            <v>131</v>
          </cell>
          <cell r="V37">
            <v>229</v>
          </cell>
          <cell r="W37">
            <v>181</v>
          </cell>
          <cell r="X37">
            <v>231</v>
          </cell>
          <cell r="Y37">
            <v>247</v>
          </cell>
          <cell r="Z37">
            <v>325</v>
          </cell>
          <cell r="AA37">
            <v>437</v>
          </cell>
          <cell r="AB37">
            <v>393</v>
          </cell>
          <cell r="AC37">
            <v>535</v>
          </cell>
          <cell r="AD37">
            <v>523</v>
          </cell>
          <cell r="AE37">
            <v>515</v>
          </cell>
          <cell r="AF37">
            <v>589</v>
          </cell>
          <cell r="AG37">
            <v>605</v>
          </cell>
          <cell r="AH37">
            <v>691</v>
          </cell>
          <cell r="AI37">
            <v>719</v>
          </cell>
          <cell r="AJ37">
            <v>767</v>
          </cell>
          <cell r="AK37">
            <v>785</v>
          </cell>
          <cell r="AL37">
            <v>791</v>
          </cell>
          <cell r="AM37">
            <v>771</v>
          </cell>
        </row>
        <row r="38">
          <cell r="K38">
            <v>91</v>
          </cell>
          <cell r="L38">
            <v>27</v>
          </cell>
          <cell r="M38">
            <v>31</v>
          </cell>
          <cell r="N38">
            <v>13</v>
          </cell>
          <cell r="O38">
            <v>813</v>
          </cell>
          <cell r="P38">
            <v>75</v>
          </cell>
          <cell r="Q38">
            <v>347</v>
          </cell>
          <cell r="R38">
            <v>61</v>
          </cell>
          <cell r="S38">
            <v>277</v>
          </cell>
          <cell r="T38">
            <v>55</v>
          </cell>
          <cell r="U38">
            <v>101</v>
          </cell>
          <cell r="V38">
            <v>169</v>
          </cell>
          <cell r="W38">
            <v>139</v>
          </cell>
          <cell r="X38">
            <v>193</v>
          </cell>
          <cell r="Y38">
            <v>211</v>
          </cell>
          <cell r="Z38">
            <v>283</v>
          </cell>
          <cell r="AA38">
            <v>381</v>
          </cell>
          <cell r="AB38">
            <v>355</v>
          </cell>
          <cell r="AC38">
            <v>493</v>
          </cell>
          <cell r="AD38">
            <v>481</v>
          </cell>
          <cell r="AE38">
            <v>471</v>
          </cell>
          <cell r="AF38">
            <v>555</v>
          </cell>
          <cell r="AG38">
            <v>583</v>
          </cell>
          <cell r="AH38">
            <v>675</v>
          </cell>
          <cell r="AI38">
            <v>707</v>
          </cell>
          <cell r="AJ38">
            <v>759</v>
          </cell>
          <cell r="AK38">
            <v>765</v>
          </cell>
          <cell r="AL38">
            <v>775</v>
          </cell>
          <cell r="AM38">
            <v>763</v>
          </cell>
        </row>
        <row r="39">
          <cell r="K39">
            <v>115</v>
          </cell>
          <cell r="L39">
            <v>73</v>
          </cell>
          <cell r="M39">
            <v>71</v>
          </cell>
          <cell r="N39">
            <v>67</v>
          </cell>
          <cell r="O39">
            <v>75</v>
          </cell>
          <cell r="P39">
            <v>813</v>
          </cell>
          <cell r="Q39">
            <v>499</v>
          </cell>
          <cell r="R39">
            <v>185</v>
          </cell>
          <cell r="S39">
            <v>421</v>
          </cell>
          <cell r="T39">
            <v>23</v>
          </cell>
          <cell r="U39">
            <v>33</v>
          </cell>
          <cell r="V39">
            <v>267</v>
          </cell>
          <cell r="W39">
            <v>123</v>
          </cell>
          <cell r="X39">
            <v>121</v>
          </cell>
          <cell r="Y39">
            <v>117</v>
          </cell>
          <cell r="Z39">
            <v>291</v>
          </cell>
          <cell r="AA39">
            <v>453</v>
          </cell>
          <cell r="AB39">
            <v>245</v>
          </cell>
          <cell r="AC39">
            <v>525</v>
          </cell>
          <cell r="AD39">
            <v>487</v>
          </cell>
          <cell r="AE39">
            <v>459</v>
          </cell>
          <cell r="AF39">
            <v>565</v>
          </cell>
          <cell r="AG39">
            <v>539</v>
          </cell>
          <cell r="AH39">
            <v>629</v>
          </cell>
          <cell r="AI39">
            <v>685</v>
          </cell>
          <cell r="AJ39">
            <v>743</v>
          </cell>
          <cell r="AK39">
            <v>745</v>
          </cell>
          <cell r="AL39">
            <v>751</v>
          </cell>
          <cell r="AM39">
            <v>729</v>
          </cell>
        </row>
        <row r="40">
          <cell r="K40">
            <v>511</v>
          </cell>
          <cell r="L40">
            <v>439</v>
          </cell>
          <cell r="M40">
            <v>443</v>
          </cell>
          <cell r="N40">
            <v>407</v>
          </cell>
          <cell r="O40">
            <v>347</v>
          </cell>
          <cell r="P40">
            <v>499</v>
          </cell>
          <cell r="Q40">
            <v>813</v>
          </cell>
          <cell r="R40">
            <v>223</v>
          </cell>
          <cell r="S40">
            <v>29</v>
          </cell>
          <cell r="T40">
            <v>435</v>
          </cell>
          <cell r="U40">
            <v>477</v>
          </cell>
          <cell r="V40">
            <v>195</v>
          </cell>
          <cell r="W40">
            <v>415</v>
          </cell>
          <cell r="X40">
            <v>483</v>
          </cell>
          <cell r="Y40">
            <v>519</v>
          </cell>
          <cell r="Z40">
            <v>321</v>
          </cell>
          <cell r="AA40">
            <v>235</v>
          </cell>
          <cell r="AB40">
            <v>591</v>
          </cell>
          <cell r="AC40">
            <v>383</v>
          </cell>
          <cell r="AD40">
            <v>451</v>
          </cell>
          <cell r="AE40">
            <v>495</v>
          </cell>
          <cell r="AF40">
            <v>467</v>
          </cell>
          <cell r="AG40">
            <v>639</v>
          </cell>
          <cell r="AH40">
            <v>723</v>
          </cell>
          <cell r="AI40">
            <v>705</v>
          </cell>
          <cell r="AJ40">
            <v>761</v>
          </cell>
          <cell r="AK40">
            <v>797</v>
          </cell>
          <cell r="AL40">
            <v>803</v>
          </cell>
          <cell r="AM40">
            <v>811</v>
          </cell>
        </row>
        <row r="41">
          <cell r="K41">
            <v>261</v>
          </cell>
          <cell r="L41">
            <v>157</v>
          </cell>
          <cell r="M41">
            <v>163</v>
          </cell>
          <cell r="N41">
            <v>127</v>
          </cell>
          <cell r="O41">
            <v>61</v>
          </cell>
          <cell r="P41">
            <v>185</v>
          </cell>
          <cell r="Q41">
            <v>223</v>
          </cell>
          <cell r="R41">
            <v>813</v>
          </cell>
          <cell r="S41">
            <v>129</v>
          </cell>
          <cell r="T41">
            <v>119</v>
          </cell>
          <cell r="U41">
            <v>159</v>
          </cell>
          <cell r="V41">
            <v>37</v>
          </cell>
          <cell r="W41">
            <v>113</v>
          </cell>
          <cell r="X41">
            <v>189</v>
          </cell>
          <cell r="Y41">
            <v>225</v>
          </cell>
          <cell r="Z41">
            <v>153</v>
          </cell>
          <cell r="AA41">
            <v>221</v>
          </cell>
          <cell r="AB41">
            <v>363</v>
          </cell>
          <cell r="AC41">
            <v>351</v>
          </cell>
          <cell r="AD41">
            <v>353</v>
          </cell>
          <cell r="AE41">
            <v>369</v>
          </cell>
          <cell r="AF41">
            <v>445</v>
          </cell>
          <cell r="AG41">
            <v>545</v>
          </cell>
          <cell r="AH41">
            <v>641</v>
          </cell>
          <cell r="AI41">
            <v>659</v>
          </cell>
          <cell r="AJ41">
            <v>731</v>
          </cell>
          <cell r="AK41">
            <v>749</v>
          </cell>
          <cell r="AL41">
            <v>755</v>
          </cell>
          <cell r="AM41">
            <v>753</v>
          </cell>
        </row>
        <row r="42">
          <cell r="K42">
            <v>457</v>
          </cell>
          <cell r="L42">
            <v>357</v>
          </cell>
          <cell r="M42">
            <v>365</v>
          </cell>
          <cell r="N42">
            <v>313</v>
          </cell>
          <cell r="O42">
            <v>277</v>
          </cell>
          <cell r="P42">
            <v>421</v>
          </cell>
          <cell r="Q42">
            <v>29</v>
          </cell>
          <cell r="R42">
            <v>129</v>
          </cell>
          <cell r="S42">
            <v>813</v>
          </cell>
          <cell r="T42">
            <v>335</v>
          </cell>
          <cell r="U42">
            <v>385</v>
          </cell>
          <cell r="V42">
            <v>93</v>
          </cell>
          <cell r="W42">
            <v>293</v>
          </cell>
          <cell r="X42">
            <v>389</v>
          </cell>
          <cell r="Y42">
            <v>431</v>
          </cell>
          <cell r="Z42">
            <v>237</v>
          </cell>
          <cell r="AA42">
            <v>165</v>
          </cell>
          <cell r="AB42">
            <v>527</v>
          </cell>
          <cell r="AC42">
            <v>303</v>
          </cell>
          <cell r="AD42">
            <v>379</v>
          </cell>
          <cell r="AE42">
            <v>429</v>
          </cell>
          <cell r="AF42">
            <v>419</v>
          </cell>
          <cell r="AG42">
            <v>597</v>
          </cell>
          <cell r="AH42">
            <v>689</v>
          </cell>
          <cell r="AI42">
            <v>671</v>
          </cell>
          <cell r="AJ42">
            <v>747</v>
          </cell>
          <cell r="AK42">
            <v>769</v>
          </cell>
          <cell r="AL42">
            <v>773</v>
          </cell>
          <cell r="AM42">
            <v>793</v>
          </cell>
        </row>
        <row r="43">
          <cell r="K43">
            <v>171</v>
          </cell>
          <cell r="L43">
            <v>97</v>
          </cell>
          <cell r="M43">
            <v>95</v>
          </cell>
          <cell r="N43">
            <v>83</v>
          </cell>
          <cell r="O43">
            <v>55</v>
          </cell>
          <cell r="P43">
            <v>23</v>
          </cell>
          <cell r="Q43">
            <v>435</v>
          </cell>
          <cell r="R43">
            <v>119</v>
          </cell>
          <cell r="S43">
            <v>335</v>
          </cell>
          <cell r="T43">
            <v>813</v>
          </cell>
          <cell r="U43">
            <v>11</v>
          </cell>
          <cell r="V43">
            <v>173</v>
          </cell>
          <cell r="W43">
            <v>49</v>
          </cell>
          <cell r="X43">
            <v>57</v>
          </cell>
          <cell r="Y43">
            <v>65</v>
          </cell>
          <cell r="Z43">
            <v>203</v>
          </cell>
          <cell r="AA43">
            <v>349</v>
          </cell>
          <cell r="AB43">
            <v>205</v>
          </cell>
          <cell r="AC43">
            <v>455</v>
          </cell>
          <cell r="AD43">
            <v>417</v>
          </cell>
          <cell r="AE43">
            <v>371</v>
          </cell>
          <cell r="AF43">
            <v>509</v>
          </cell>
          <cell r="AG43">
            <v>497</v>
          </cell>
          <cell r="AH43">
            <v>601</v>
          </cell>
          <cell r="AI43">
            <v>647</v>
          </cell>
          <cell r="AJ43">
            <v>711</v>
          </cell>
          <cell r="AK43">
            <v>727</v>
          </cell>
          <cell r="AL43">
            <v>739</v>
          </cell>
          <cell r="AM43">
            <v>713</v>
          </cell>
        </row>
        <row r="44">
          <cell r="K44">
            <v>199</v>
          </cell>
          <cell r="L44">
            <v>143</v>
          </cell>
          <cell r="M44">
            <v>141</v>
          </cell>
          <cell r="N44">
            <v>131</v>
          </cell>
          <cell r="O44">
            <v>101</v>
          </cell>
          <cell r="P44">
            <v>33</v>
          </cell>
          <cell r="Q44">
            <v>477</v>
          </cell>
          <cell r="R44">
            <v>159</v>
          </cell>
          <cell r="S44">
            <v>385</v>
          </cell>
          <cell r="T44">
            <v>11</v>
          </cell>
          <cell r="U44">
            <v>813</v>
          </cell>
          <cell r="V44">
            <v>197</v>
          </cell>
          <cell r="W44">
            <v>47</v>
          </cell>
          <cell r="X44">
            <v>39</v>
          </cell>
          <cell r="Y44">
            <v>41</v>
          </cell>
          <cell r="Z44">
            <v>209</v>
          </cell>
          <cell r="AA44">
            <v>377</v>
          </cell>
          <cell r="AB44">
            <v>155</v>
          </cell>
          <cell r="AC44">
            <v>461</v>
          </cell>
          <cell r="AD44">
            <v>405</v>
          </cell>
          <cell r="AE44">
            <v>341</v>
          </cell>
          <cell r="AF44">
            <v>505</v>
          </cell>
          <cell r="AG44">
            <v>469</v>
          </cell>
          <cell r="AH44">
            <v>577</v>
          </cell>
          <cell r="AI44">
            <v>633</v>
          </cell>
          <cell r="AJ44">
            <v>703</v>
          </cell>
          <cell r="AK44">
            <v>709</v>
          </cell>
          <cell r="AL44">
            <v>717</v>
          </cell>
          <cell r="AM44">
            <v>697</v>
          </cell>
        </row>
        <row r="45">
          <cell r="K45">
            <v>359</v>
          </cell>
          <cell r="L45">
            <v>273</v>
          </cell>
          <cell r="M45">
            <v>275</v>
          </cell>
          <cell r="N45">
            <v>229</v>
          </cell>
          <cell r="O45">
            <v>169</v>
          </cell>
          <cell r="P45">
            <v>267</v>
          </cell>
          <cell r="Q45">
            <v>195</v>
          </cell>
          <cell r="R45">
            <v>37</v>
          </cell>
          <cell r="S45">
            <v>93</v>
          </cell>
          <cell r="T45">
            <v>173</v>
          </cell>
          <cell r="U45">
            <v>197</v>
          </cell>
          <cell r="V45">
            <v>813</v>
          </cell>
          <cell r="W45">
            <v>111</v>
          </cell>
          <cell r="X45">
            <v>187</v>
          </cell>
          <cell r="Y45">
            <v>233</v>
          </cell>
          <cell r="Z45">
            <v>63</v>
          </cell>
          <cell r="AA45">
            <v>109</v>
          </cell>
          <cell r="AB45">
            <v>337</v>
          </cell>
          <cell r="AC45">
            <v>253</v>
          </cell>
          <cell r="AD45">
            <v>263</v>
          </cell>
          <cell r="AE45">
            <v>279</v>
          </cell>
          <cell r="AF45">
            <v>323</v>
          </cell>
          <cell r="AG45">
            <v>491</v>
          </cell>
          <cell r="AH45">
            <v>611</v>
          </cell>
          <cell r="AI45">
            <v>613</v>
          </cell>
          <cell r="AJ45">
            <v>693</v>
          </cell>
          <cell r="AK45">
            <v>721</v>
          </cell>
          <cell r="AL45">
            <v>733</v>
          </cell>
          <cell r="AM45">
            <v>741</v>
          </cell>
        </row>
        <row r="46">
          <cell r="K46">
            <v>289</v>
          </cell>
          <cell r="L46">
            <v>219</v>
          </cell>
          <cell r="M46">
            <v>217</v>
          </cell>
          <cell r="N46">
            <v>181</v>
          </cell>
          <cell r="O46">
            <v>139</v>
          </cell>
          <cell r="P46">
            <v>123</v>
          </cell>
          <cell r="Q46">
            <v>415</v>
          </cell>
          <cell r="R46">
            <v>113</v>
          </cell>
          <cell r="S46">
            <v>293</v>
          </cell>
          <cell r="T46">
            <v>49</v>
          </cell>
          <cell r="U46">
            <v>47</v>
          </cell>
          <cell r="V46">
            <v>111</v>
          </cell>
          <cell r="W46">
            <v>813</v>
          </cell>
          <cell r="X46">
            <v>15</v>
          </cell>
          <cell r="Y46">
            <v>43</v>
          </cell>
          <cell r="Z46">
            <v>89</v>
          </cell>
          <cell r="AA46">
            <v>255</v>
          </cell>
          <cell r="AB46">
            <v>151</v>
          </cell>
          <cell r="AC46">
            <v>319</v>
          </cell>
          <cell r="AD46">
            <v>281</v>
          </cell>
          <cell r="AE46">
            <v>239</v>
          </cell>
          <cell r="AF46">
            <v>395</v>
          </cell>
          <cell r="AG46">
            <v>399</v>
          </cell>
          <cell r="AH46">
            <v>541</v>
          </cell>
          <cell r="AI46">
            <v>587</v>
          </cell>
          <cell r="AJ46">
            <v>665</v>
          </cell>
          <cell r="AK46">
            <v>683</v>
          </cell>
          <cell r="AL46">
            <v>695</v>
          </cell>
          <cell r="AM46">
            <v>681</v>
          </cell>
        </row>
        <row r="47">
          <cell r="K47">
            <v>307</v>
          </cell>
          <cell r="L47">
            <v>259</v>
          </cell>
          <cell r="M47">
            <v>257</v>
          </cell>
          <cell r="N47">
            <v>231</v>
          </cell>
          <cell r="O47">
            <v>193</v>
          </cell>
          <cell r="P47">
            <v>121</v>
          </cell>
          <cell r="Q47">
            <v>483</v>
          </cell>
          <cell r="R47">
            <v>189</v>
          </cell>
          <cell r="S47">
            <v>389</v>
          </cell>
          <cell r="T47">
            <v>57</v>
          </cell>
          <cell r="U47">
            <v>39</v>
          </cell>
          <cell r="V47">
            <v>187</v>
          </cell>
          <cell r="W47">
            <v>15</v>
          </cell>
          <cell r="X47">
            <v>813</v>
          </cell>
          <cell r="Y47">
            <v>5</v>
          </cell>
          <cell r="Z47">
            <v>135</v>
          </cell>
          <cell r="AA47">
            <v>299</v>
          </cell>
          <cell r="AB47">
            <v>77</v>
          </cell>
          <cell r="AC47">
            <v>367</v>
          </cell>
          <cell r="AD47">
            <v>285</v>
          </cell>
          <cell r="AE47">
            <v>241</v>
          </cell>
          <cell r="AF47">
            <v>423</v>
          </cell>
          <cell r="AG47">
            <v>345</v>
          </cell>
          <cell r="AH47">
            <v>513</v>
          </cell>
          <cell r="AI47">
            <v>569</v>
          </cell>
          <cell r="AJ47">
            <v>643</v>
          </cell>
          <cell r="AK47">
            <v>661</v>
          </cell>
          <cell r="AL47">
            <v>673</v>
          </cell>
          <cell r="AM47">
            <v>651</v>
          </cell>
        </row>
        <row r="48">
          <cell r="K48">
            <v>311</v>
          </cell>
          <cell r="L48">
            <v>271</v>
          </cell>
          <cell r="M48">
            <v>269</v>
          </cell>
          <cell r="N48">
            <v>247</v>
          </cell>
          <cell r="O48">
            <v>211</v>
          </cell>
          <cell r="P48">
            <v>117</v>
          </cell>
          <cell r="Q48">
            <v>519</v>
          </cell>
          <cell r="R48">
            <v>225</v>
          </cell>
          <cell r="S48">
            <v>431</v>
          </cell>
          <cell r="T48">
            <v>65</v>
          </cell>
          <cell r="U48">
            <v>41</v>
          </cell>
          <cell r="V48">
            <v>233</v>
          </cell>
          <cell r="W48">
            <v>43</v>
          </cell>
          <cell r="X48">
            <v>5</v>
          </cell>
          <cell r="Y48">
            <v>813</v>
          </cell>
          <cell r="Z48">
            <v>175</v>
          </cell>
          <cell r="AA48">
            <v>339</v>
          </cell>
          <cell r="AB48">
            <v>53</v>
          </cell>
          <cell r="AC48">
            <v>401</v>
          </cell>
          <cell r="AD48">
            <v>309</v>
          </cell>
          <cell r="AE48">
            <v>265</v>
          </cell>
          <cell r="AF48">
            <v>447</v>
          </cell>
          <cell r="AG48">
            <v>343</v>
          </cell>
          <cell r="AH48">
            <v>503</v>
          </cell>
          <cell r="AI48">
            <v>573</v>
          </cell>
          <cell r="AJ48">
            <v>645</v>
          </cell>
          <cell r="AK48">
            <v>657</v>
          </cell>
          <cell r="AL48">
            <v>667</v>
          </cell>
          <cell r="AM48">
            <v>635</v>
          </cell>
        </row>
        <row r="49">
          <cell r="K49">
            <v>465</v>
          </cell>
          <cell r="L49">
            <v>373</v>
          </cell>
          <cell r="M49">
            <v>375</v>
          </cell>
          <cell r="N49">
            <v>325</v>
          </cell>
          <cell r="O49">
            <v>283</v>
          </cell>
          <cell r="P49">
            <v>291</v>
          </cell>
          <cell r="Q49">
            <v>321</v>
          </cell>
          <cell r="R49">
            <v>153</v>
          </cell>
          <cell r="S49">
            <v>237</v>
          </cell>
          <cell r="T49">
            <v>203</v>
          </cell>
          <cell r="U49">
            <v>209</v>
          </cell>
          <cell r="V49">
            <v>63</v>
          </cell>
          <cell r="W49">
            <v>89</v>
          </cell>
          <cell r="X49">
            <v>135</v>
          </cell>
          <cell r="Y49">
            <v>175</v>
          </cell>
          <cell r="Z49">
            <v>813</v>
          </cell>
          <cell r="AA49">
            <v>79</v>
          </cell>
          <cell r="AB49">
            <v>251</v>
          </cell>
          <cell r="AC49">
            <v>137</v>
          </cell>
          <cell r="AD49">
            <v>105</v>
          </cell>
          <cell r="AE49">
            <v>107</v>
          </cell>
          <cell r="AF49">
            <v>201</v>
          </cell>
          <cell r="AG49">
            <v>329</v>
          </cell>
          <cell r="AH49">
            <v>507</v>
          </cell>
          <cell r="AI49">
            <v>517</v>
          </cell>
          <cell r="AJ49">
            <v>615</v>
          </cell>
          <cell r="AK49">
            <v>649</v>
          </cell>
          <cell r="AL49">
            <v>663</v>
          </cell>
          <cell r="AM49">
            <v>677</v>
          </cell>
        </row>
        <row r="50">
          <cell r="K50">
            <v>543</v>
          </cell>
          <cell r="L50">
            <v>473</v>
          </cell>
          <cell r="M50">
            <v>475</v>
          </cell>
          <cell r="N50">
            <v>437</v>
          </cell>
          <cell r="O50">
            <v>381</v>
          </cell>
          <cell r="P50">
            <v>453</v>
          </cell>
          <cell r="Q50">
            <v>235</v>
          </cell>
          <cell r="R50">
            <v>221</v>
          </cell>
          <cell r="S50">
            <v>165</v>
          </cell>
          <cell r="T50">
            <v>349</v>
          </cell>
          <cell r="U50">
            <v>377</v>
          </cell>
          <cell r="V50">
            <v>109</v>
          </cell>
          <cell r="W50">
            <v>255</v>
          </cell>
          <cell r="X50">
            <v>299</v>
          </cell>
          <cell r="Y50">
            <v>339</v>
          </cell>
          <cell r="Z50">
            <v>79</v>
          </cell>
          <cell r="AA50">
            <v>813</v>
          </cell>
          <cell r="AB50">
            <v>425</v>
          </cell>
          <cell r="AC50">
            <v>59</v>
          </cell>
          <cell r="AD50">
            <v>125</v>
          </cell>
          <cell r="AE50">
            <v>177</v>
          </cell>
          <cell r="AF50">
            <v>145</v>
          </cell>
          <cell r="AG50">
            <v>433</v>
          </cell>
          <cell r="AH50">
            <v>563</v>
          </cell>
          <cell r="AI50">
            <v>529</v>
          </cell>
          <cell r="AJ50">
            <v>631</v>
          </cell>
          <cell r="AK50">
            <v>679</v>
          </cell>
          <cell r="AL50">
            <v>687</v>
          </cell>
          <cell r="AM50">
            <v>715</v>
          </cell>
        </row>
        <row r="51">
          <cell r="K51">
            <v>463</v>
          </cell>
          <cell r="L51">
            <v>413</v>
          </cell>
          <cell r="M51">
            <v>411</v>
          </cell>
          <cell r="N51">
            <v>393</v>
          </cell>
          <cell r="O51">
            <v>355</v>
          </cell>
          <cell r="P51">
            <v>245</v>
          </cell>
          <cell r="Q51">
            <v>591</v>
          </cell>
          <cell r="R51">
            <v>363</v>
          </cell>
          <cell r="S51">
            <v>527</v>
          </cell>
          <cell r="T51">
            <v>205</v>
          </cell>
          <cell r="U51">
            <v>155</v>
          </cell>
          <cell r="V51">
            <v>337</v>
          </cell>
          <cell r="W51">
            <v>151</v>
          </cell>
          <cell r="X51">
            <v>77</v>
          </cell>
          <cell r="Y51">
            <v>53</v>
          </cell>
          <cell r="Z51">
            <v>251</v>
          </cell>
          <cell r="AA51">
            <v>425</v>
          </cell>
          <cell r="AB51">
            <v>813</v>
          </cell>
          <cell r="AC51">
            <v>427</v>
          </cell>
          <cell r="AD51">
            <v>315</v>
          </cell>
          <cell r="AE51">
            <v>243</v>
          </cell>
          <cell r="AF51">
            <v>449</v>
          </cell>
          <cell r="AG51">
            <v>249</v>
          </cell>
          <cell r="AH51">
            <v>391</v>
          </cell>
          <cell r="AI51">
            <v>521</v>
          </cell>
          <cell r="AJ51">
            <v>595</v>
          </cell>
          <cell r="AK51">
            <v>593</v>
          </cell>
          <cell r="AL51">
            <v>603</v>
          </cell>
          <cell r="AM51">
            <v>561</v>
          </cell>
        </row>
        <row r="52">
          <cell r="K52">
            <v>617</v>
          </cell>
          <cell r="L52">
            <v>557</v>
          </cell>
          <cell r="M52">
            <v>559</v>
          </cell>
          <cell r="N52">
            <v>535</v>
          </cell>
          <cell r="O52">
            <v>493</v>
          </cell>
          <cell r="P52">
            <v>525</v>
          </cell>
          <cell r="Q52">
            <v>383</v>
          </cell>
          <cell r="R52">
            <v>351</v>
          </cell>
          <cell r="S52">
            <v>303</v>
          </cell>
          <cell r="T52">
            <v>455</v>
          </cell>
          <cell r="U52">
            <v>461</v>
          </cell>
          <cell r="V52">
            <v>253</v>
          </cell>
          <cell r="W52">
            <v>319</v>
          </cell>
          <cell r="X52">
            <v>367</v>
          </cell>
          <cell r="Y52">
            <v>401</v>
          </cell>
          <cell r="Z52">
            <v>137</v>
          </cell>
          <cell r="AA52">
            <v>59</v>
          </cell>
          <cell r="AB52">
            <v>427</v>
          </cell>
          <cell r="AC52">
            <v>813</v>
          </cell>
          <cell r="AD52">
            <v>35</v>
          </cell>
          <cell r="AE52">
            <v>99</v>
          </cell>
          <cell r="AF52">
            <v>17</v>
          </cell>
          <cell r="AG52">
            <v>327</v>
          </cell>
          <cell r="AH52">
            <v>485</v>
          </cell>
          <cell r="AI52">
            <v>409</v>
          </cell>
          <cell r="AJ52">
            <v>551</v>
          </cell>
          <cell r="AK52">
            <v>619</v>
          </cell>
          <cell r="AL52">
            <v>625</v>
          </cell>
          <cell r="AM52">
            <v>669</v>
          </cell>
        </row>
        <row r="53">
          <cell r="K53">
            <v>599</v>
          </cell>
          <cell r="L53">
            <v>547</v>
          </cell>
          <cell r="M53">
            <v>549</v>
          </cell>
          <cell r="N53">
            <v>523</v>
          </cell>
          <cell r="O53">
            <v>481</v>
          </cell>
          <cell r="P53">
            <v>487</v>
          </cell>
          <cell r="Q53">
            <v>451</v>
          </cell>
          <cell r="R53">
            <v>353</v>
          </cell>
          <cell r="S53">
            <v>379</v>
          </cell>
          <cell r="T53">
            <v>417</v>
          </cell>
          <cell r="U53">
            <v>405</v>
          </cell>
          <cell r="V53">
            <v>263</v>
          </cell>
          <cell r="W53">
            <v>281</v>
          </cell>
          <cell r="X53">
            <v>285</v>
          </cell>
          <cell r="Y53">
            <v>309</v>
          </cell>
          <cell r="Z53">
            <v>105</v>
          </cell>
          <cell r="AA53">
            <v>125</v>
          </cell>
          <cell r="AB53">
            <v>315</v>
          </cell>
          <cell r="AC53">
            <v>35</v>
          </cell>
          <cell r="AD53">
            <v>813</v>
          </cell>
          <cell r="AE53">
            <v>21</v>
          </cell>
          <cell r="AF53">
            <v>45</v>
          </cell>
          <cell r="AG53">
            <v>227</v>
          </cell>
          <cell r="AH53">
            <v>397</v>
          </cell>
          <cell r="AI53">
            <v>331</v>
          </cell>
          <cell r="AJ53">
            <v>501</v>
          </cell>
          <cell r="AK53">
            <v>567</v>
          </cell>
          <cell r="AL53">
            <v>575</v>
          </cell>
          <cell r="AM53">
            <v>621</v>
          </cell>
        </row>
        <row r="54">
          <cell r="K54">
            <v>585</v>
          </cell>
          <cell r="L54">
            <v>533</v>
          </cell>
          <cell r="M54">
            <v>531</v>
          </cell>
          <cell r="N54">
            <v>515</v>
          </cell>
          <cell r="O54">
            <v>471</v>
          </cell>
          <cell r="P54">
            <v>459</v>
          </cell>
          <cell r="Q54">
            <v>495</v>
          </cell>
          <cell r="R54">
            <v>369</v>
          </cell>
          <cell r="S54">
            <v>429</v>
          </cell>
          <cell r="T54">
            <v>371</v>
          </cell>
          <cell r="U54">
            <v>341</v>
          </cell>
          <cell r="V54">
            <v>279</v>
          </cell>
          <cell r="W54">
            <v>239</v>
          </cell>
          <cell r="X54">
            <v>241</v>
          </cell>
          <cell r="Y54">
            <v>265</v>
          </cell>
          <cell r="Z54">
            <v>107</v>
          </cell>
          <cell r="AA54">
            <v>177</v>
          </cell>
          <cell r="AB54">
            <v>243</v>
          </cell>
          <cell r="AC54">
            <v>99</v>
          </cell>
          <cell r="AD54">
            <v>21</v>
          </cell>
          <cell r="AE54">
            <v>813</v>
          </cell>
          <cell r="AF54">
            <v>103</v>
          </cell>
          <cell r="AG54">
            <v>149</v>
          </cell>
          <cell r="AH54">
            <v>317</v>
          </cell>
          <cell r="AI54">
            <v>301</v>
          </cell>
          <cell r="AJ54">
            <v>479</v>
          </cell>
          <cell r="AK54">
            <v>537</v>
          </cell>
          <cell r="AL54">
            <v>553</v>
          </cell>
          <cell r="AM54">
            <v>581</v>
          </cell>
        </row>
        <row r="55">
          <cell r="K55">
            <v>653</v>
          </cell>
          <cell r="L55">
            <v>607</v>
          </cell>
          <cell r="M55">
            <v>609</v>
          </cell>
          <cell r="N55">
            <v>589</v>
          </cell>
          <cell r="O55">
            <v>555</v>
          </cell>
          <cell r="P55">
            <v>565</v>
          </cell>
          <cell r="Q55">
            <v>467</v>
          </cell>
          <cell r="R55">
            <v>445</v>
          </cell>
          <cell r="S55">
            <v>419</v>
          </cell>
          <cell r="T55">
            <v>509</v>
          </cell>
          <cell r="U55">
            <v>505</v>
          </cell>
          <cell r="V55">
            <v>323</v>
          </cell>
          <cell r="W55">
            <v>395</v>
          </cell>
          <cell r="X55">
            <v>423</v>
          </cell>
          <cell r="Y55">
            <v>447</v>
          </cell>
          <cell r="Z55">
            <v>201</v>
          </cell>
          <cell r="AA55">
            <v>145</v>
          </cell>
          <cell r="AB55">
            <v>449</v>
          </cell>
          <cell r="AC55">
            <v>17</v>
          </cell>
          <cell r="AD55">
            <v>45</v>
          </cell>
          <cell r="AE55">
            <v>103</v>
          </cell>
          <cell r="AF55">
            <v>813</v>
          </cell>
          <cell r="AG55">
            <v>287</v>
          </cell>
          <cell r="AH55">
            <v>441</v>
          </cell>
          <cell r="AI55">
            <v>305</v>
          </cell>
          <cell r="AJ55">
            <v>489</v>
          </cell>
          <cell r="AK55">
            <v>571</v>
          </cell>
          <cell r="AL55">
            <v>579</v>
          </cell>
          <cell r="AM55">
            <v>637</v>
          </cell>
        </row>
        <row r="56">
          <cell r="K56">
            <v>655</v>
          </cell>
          <cell r="L56">
            <v>627</v>
          </cell>
          <cell r="M56">
            <v>623</v>
          </cell>
          <cell r="N56">
            <v>605</v>
          </cell>
          <cell r="O56">
            <v>583</v>
          </cell>
          <cell r="P56">
            <v>539</v>
          </cell>
          <cell r="Q56">
            <v>639</v>
          </cell>
          <cell r="R56">
            <v>545</v>
          </cell>
          <cell r="S56">
            <v>597</v>
          </cell>
          <cell r="T56">
            <v>497</v>
          </cell>
          <cell r="U56">
            <v>469</v>
          </cell>
          <cell r="V56">
            <v>491</v>
          </cell>
          <cell r="W56">
            <v>399</v>
          </cell>
          <cell r="X56">
            <v>345</v>
          </cell>
          <cell r="Y56">
            <v>343</v>
          </cell>
          <cell r="Z56">
            <v>329</v>
          </cell>
          <cell r="AA56">
            <v>433</v>
          </cell>
          <cell r="AB56">
            <v>249</v>
          </cell>
          <cell r="AC56">
            <v>327</v>
          </cell>
          <cell r="AD56">
            <v>227</v>
          </cell>
          <cell r="AE56">
            <v>149</v>
          </cell>
          <cell r="AF56">
            <v>287</v>
          </cell>
          <cell r="AG56">
            <v>813</v>
          </cell>
          <cell r="AH56">
            <v>87</v>
          </cell>
          <cell r="AI56">
            <v>183</v>
          </cell>
          <cell r="AJ56">
            <v>297</v>
          </cell>
          <cell r="AK56">
            <v>333</v>
          </cell>
          <cell r="AL56">
            <v>361</v>
          </cell>
          <cell r="AM56">
            <v>387</v>
          </cell>
        </row>
        <row r="57">
          <cell r="K57">
            <v>725</v>
          </cell>
          <cell r="L57">
            <v>701</v>
          </cell>
          <cell r="M57">
            <v>699</v>
          </cell>
          <cell r="N57">
            <v>691</v>
          </cell>
          <cell r="O57">
            <v>675</v>
          </cell>
          <cell r="P57">
            <v>629</v>
          </cell>
          <cell r="Q57">
            <v>723</v>
          </cell>
          <cell r="R57">
            <v>641</v>
          </cell>
          <cell r="S57">
            <v>689</v>
          </cell>
          <cell r="T57">
            <v>601</v>
          </cell>
          <cell r="U57">
            <v>577</v>
          </cell>
          <cell r="V57">
            <v>611</v>
          </cell>
          <cell r="W57">
            <v>541</v>
          </cell>
          <cell r="X57">
            <v>513</v>
          </cell>
          <cell r="Y57">
            <v>503</v>
          </cell>
          <cell r="Z57">
            <v>507</v>
          </cell>
          <cell r="AA57">
            <v>563</v>
          </cell>
          <cell r="AB57">
            <v>391</v>
          </cell>
          <cell r="AC57">
            <v>485</v>
          </cell>
          <cell r="AD57">
            <v>397</v>
          </cell>
          <cell r="AE57">
            <v>317</v>
          </cell>
          <cell r="AF57">
            <v>441</v>
          </cell>
          <cell r="AG57">
            <v>87</v>
          </cell>
          <cell r="AH57">
            <v>813</v>
          </cell>
          <cell r="AI57">
            <v>147</v>
          </cell>
          <cell r="AJ57">
            <v>179</v>
          </cell>
          <cell r="AK57">
            <v>161</v>
          </cell>
          <cell r="AL57">
            <v>191</v>
          </cell>
          <cell r="AM57">
            <v>207</v>
          </cell>
        </row>
        <row r="58">
          <cell r="K58">
            <v>757</v>
          </cell>
          <cell r="L58">
            <v>737</v>
          </cell>
          <cell r="M58">
            <v>735</v>
          </cell>
          <cell r="N58">
            <v>719</v>
          </cell>
          <cell r="O58">
            <v>707</v>
          </cell>
          <cell r="P58">
            <v>685</v>
          </cell>
          <cell r="Q58">
            <v>705</v>
          </cell>
          <cell r="R58">
            <v>659</v>
          </cell>
          <cell r="S58">
            <v>671</v>
          </cell>
          <cell r="T58">
            <v>647</v>
          </cell>
          <cell r="U58">
            <v>633</v>
          </cell>
          <cell r="V58">
            <v>613</v>
          </cell>
          <cell r="W58">
            <v>587</v>
          </cell>
          <cell r="X58">
            <v>569</v>
          </cell>
          <cell r="Y58">
            <v>573</v>
          </cell>
          <cell r="Z58">
            <v>517</v>
          </cell>
          <cell r="AA58">
            <v>529</v>
          </cell>
          <cell r="AB58">
            <v>521</v>
          </cell>
          <cell r="AC58">
            <v>409</v>
          </cell>
          <cell r="AD58">
            <v>331</v>
          </cell>
          <cell r="AE58">
            <v>301</v>
          </cell>
          <cell r="AF58">
            <v>305</v>
          </cell>
          <cell r="AG58">
            <v>183</v>
          </cell>
          <cell r="AH58">
            <v>147</v>
          </cell>
          <cell r="AI58">
            <v>813</v>
          </cell>
          <cell r="AJ58">
            <v>81</v>
          </cell>
          <cell r="AK58">
            <v>213</v>
          </cell>
          <cell r="AL58">
            <v>215</v>
          </cell>
          <cell r="AM58">
            <v>403</v>
          </cell>
        </row>
        <row r="59">
          <cell r="K59">
            <v>805</v>
          </cell>
          <cell r="L59">
            <v>783</v>
          </cell>
          <cell r="M59">
            <v>781</v>
          </cell>
          <cell r="N59">
            <v>767</v>
          </cell>
          <cell r="O59">
            <v>759</v>
          </cell>
          <cell r="P59">
            <v>743</v>
          </cell>
          <cell r="Q59">
            <v>761</v>
          </cell>
          <cell r="R59">
            <v>731</v>
          </cell>
          <cell r="S59">
            <v>747</v>
          </cell>
          <cell r="T59">
            <v>711</v>
          </cell>
          <cell r="U59">
            <v>703</v>
          </cell>
          <cell r="V59">
            <v>693</v>
          </cell>
          <cell r="W59">
            <v>665</v>
          </cell>
          <cell r="X59">
            <v>643</v>
          </cell>
          <cell r="Y59">
            <v>645</v>
          </cell>
          <cell r="Z59">
            <v>615</v>
          </cell>
          <cell r="AA59">
            <v>631</v>
          </cell>
          <cell r="AB59">
            <v>595</v>
          </cell>
          <cell r="AC59">
            <v>551</v>
          </cell>
          <cell r="AD59">
            <v>501</v>
          </cell>
          <cell r="AE59">
            <v>479</v>
          </cell>
          <cell r="AF59">
            <v>489</v>
          </cell>
          <cell r="AG59">
            <v>297</v>
          </cell>
          <cell r="AH59">
            <v>179</v>
          </cell>
          <cell r="AI59">
            <v>81</v>
          </cell>
          <cell r="AJ59">
            <v>813</v>
          </cell>
          <cell r="AK59">
            <v>85</v>
          </cell>
          <cell r="AL59">
            <v>69</v>
          </cell>
          <cell r="AM59">
            <v>295</v>
          </cell>
        </row>
        <row r="60">
          <cell r="K60">
            <v>807</v>
          </cell>
          <cell r="L60">
            <v>789</v>
          </cell>
          <cell r="M60">
            <v>787</v>
          </cell>
          <cell r="N60">
            <v>785</v>
          </cell>
          <cell r="O60">
            <v>765</v>
          </cell>
          <cell r="P60">
            <v>745</v>
          </cell>
          <cell r="Q60">
            <v>797</v>
          </cell>
          <cell r="R60">
            <v>749</v>
          </cell>
          <cell r="S60">
            <v>769</v>
          </cell>
          <cell r="T60">
            <v>727</v>
          </cell>
          <cell r="U60">
            <v>709</v>
          </cell>
          <cell r="V60">
            <v>721</v>
          </cell>
          <cell r="W60">
            <v>683</v>
          </cell>
          <cell r="X60">
            <v>661</v>
          </cell>
          <cell r="Y60">
            <v>657</v>
          </cell>
          <cell r="Z60">
            <v>649</v>
          </cell>
          <cell r="AA60">
            <v>679</v>
          </cell>
          <cell r="AB60">
            <v>593</v>
          </cell>
          <cell r="AC60">
            <v>619</v>
          </cell>
          <cell r="AD60">
            <v>567</v>
          </cell>
          <cell r="AE60">
            <v>537</v>
          </cell>
          <cell r="AF60">
            <v>571</v>
          </cell>
          <cell r="AG60">
            <v>333</v>
          </cell>
          <cell r="AH60">
            <v>161</v>
          </cell>
          <cell r="AI60">
            <v>213</v>
          </cell>
          <cell r="AJ60">
            <v>85</v>
          </cell>
          <cell r="AK60">
            <v>813</v>
          </cell>
          <cell r="AL60">
            <v>3</v>
          </cell>
          <cell r="AM60">
            <v>133</v>
          </cell>
        </row>
        <row r="61">
          <cell r="K61">
            <v>809</v>
          </cell>
          <cell r="L61">
            <v>801</v>
          </cell>
          <cell r="M61">
            <v>799</v>
          </cell>
          <cell r="N61">
            <v>791</v>
          </cell>
          <cell r="O61">
            <v>775</v>
          </cell>
          <cell r="P61">
            <v>751</v>
          </cell>
          <cell r="Q61">
            <v>803</v>
          </cell>
          <cell r="R61">
            <v>755</v>
          </cell>
          <cell r="S61">
            <v>773</v>
          </cell>
          <cell r="T61">
            <v>739</v>
          </cell>
          <cell r="U61">
            <v>717</v>
          </cell>
          <cell r="V61">
            <v>733</v>
          </cell>
          <cell r="W61">
            <v>695</v>
          </cell>
          <cell r="X61">
            <v>673</v>
          </cell>
          <cell r="Y61">
            <v>667</v>
          </cell>
          <cell r="Z61">
            <v>663</v>
          </cell>
          <cell r="AA61">
            <v>687</v>
          </cell>
          <cell r="AB61">
            <v>603</v>
          </cell>
          <cell r="AC61">
            <v>625</v>
          </cell>
          <cell r="AD61">
            <v>575</v>
          </cell>
          <cell r="AE61">
            <v>553</v>
          </cell>
          <cell r="AF61">
            <v>579</v>
          </cell>
          <cell r="AG61">
            <v>361</v>
          </cell>
          <cell r="AH61">
            <v>191</v>
          </cell>
          <cell r="AI61">
            <v>215</v>
          </cell>
          <cell r="AJ61">
            <v>69</v>
          </cell>
          <cell r="AK61">
            <v>3</v>
          </cell>
          <cell r="AL61">
            <v>813</v>
          </cell>
          <cell r="AM61">
            <v>167</v>
          </cell>
        </row>
        <row r="62">
          <cell r="K62">
            <v>795</v>
          </cell>
          <cell r="L62">
            <v>779</v>
          </cell>
          <cell r="M62">
            <v>777</v>
          </cell>
          <cell r="N62">
            <v>771</v>
          </cell>
          <cell r="O62">
            <v>763</v>
          </cell>
          <cell r="P62">
            <v>729</v>
          </cell>
          <cell r="Q62">
            <v>811</v>
          </cell>
          <cell r="R62">
            <v>753</v>
          </cell>
          <cell r="S62">
            <v>793</v>
          </cell>
          <cell r="T62">
            <v>713</v>
          </cell>
          <cell r="U62">
            <v>697</v>
          </cell>
          <cell r="V62">
            <v>741</v>
          </cell>
          <cell r="W62">
            <v>681</v>
          </cell>
          <cell r="X62">
            <v>651</v>
          </cell>
          <cell r="Y62">
            <v>635</v>
          </cell>
          <cell r="Z62">
            <v>677</v>
          </cell>
          <cell r="AA62">
            <v>715</v>
          </cell>
          <cell r="AB62">
            <v>561</v>
          </cell>
          <cell r="AC62">
            <v>669</v>
          </cell>
          <cell r="AD62">
            <v>621</v>
          </cell>
          <cell r="AE62">
            <v>581</v>
          </cell>
          <cell r="AF62">
            <v>637</v>
          </cell>
          <cell r="AG62">
            <v>387</v>
          </cell>
          <cell r="AH62">
            <v>207</v>
          </cell>
          <cell r="AI62">
            <v>403</v>
          </cell>
          <cell r="AJ62">
            <v>295</v>
          </cell>
          <cell r="AK62">
            <v>133</v>
          </cell>
          <cell r="AL62">
            <v>167</v>
          </cell>
          <cell r="AM62">
            <v>813</v>
          </cell>
        </row>
        <row r="66">
          <cell r="K66">
            <v>10000000</v>
          </cell>
          <cell r="L66">
            <v>29</v>
          </cell>
          <cell r="M66">
            <v>25</v>
          </cell>
          <cell r="N66">
            <v>1</v>
          </cell>
          <cell r="O66">
            <v>50</v>
          </cell>
          <cell r="P66">
            <v>2</v>
          </cell>
          <cell r="Q66">
            <v>32</v>
          </cell>
          <cell r="R66">
            <v>17</v>
          </cell>
          <cell r="S66">
            <v>5</v>
          </cell>
          <cell r="T66">
            <v>41</v>
          </cell>
          <cell r="U66">
            <v>16</v>
          </cell>
          <cell r="V66">
            <v>25</v>
          </cell>
          <cell r="W66">
            <v>16</v>
          </cell>
          <cell r="X66">
            <v>18</v>
          </cell>
          <cell r="Y66">
            <v>5</v>
          </cell>
          <cell r="Z66">
            <v>2</v>
          </cell>
          <cell r="AA66">
            <v>1</v>
          </cell>
          <cell r="AB66">
            <v>37</v>
          </cell>
          <cell r="AC66">
            <v>25</v>
          </cell>
          <cell r="AD66">
            <v>5</v>
          </cell>
          <cell r="AE66">
            <v>25</v>
          </cell>
          <cell r="AF66">
            <v>10</v>
          </cell>
          <cell r="AG66">
            <v>0</v>
          </cell>
          <cell r="AH66">
            <v>20</v>
          </cell>
          <cell r="AI66">
            <v>5</v>
          </cell>
          <cell r="AJ66">
            <v>4</v>
          </cell>
          <cell r="AK66">
            <v>26</v>
          </cell>
          <cell r="AL66">
            <v>20</v>
          </cell>
          <cell r="AM66">
            <v>52</v>
          </cell>
        </row>
        <row r="67">
          <cell r="K67">
            <v>29</v>
          </cell>
          <cell r="L67">
            <v>10000000</v>
          </cell>
          <cell r="M67">
            <v>74</v>
          </cell>
          <cell r="N67">
            <v>20</v>
          </cell>
          <cell r="O67">
            <v>49</v>
          </cell>
          <cell r="P67">
            <v>37</v>
          </cell>
          <cell r="Q67">
            <v>5</v>
          </cell>
          <cell r="R67">
            <v>52</v>
          </cell>
          <cell r="S67">
            <v>50</v>
          </cell>
          <cell r="T67">
            <v>50</v>
          </cell>
          <cell r="U67">
            <v>5</v>
          </cell>
          <cell r="V67">
            <v>74</v>
          </cell>
          <cell r="W67">
            <v>29</v>
          </cell>
          <cell r="X67">
            <v>65</v>
          </cell>
          <cell r="Y67">
            <v>50</v>
          </cell>
          <cell r="Z67">
            <v>25</v>
          </cell>
          <cell r="AA67">
            <v>40</v>
          </cell>
          <cell r="AB67">
            <v>2</v>
          </cell>
          <cell r="AC67">
            <v>74</v>
          </cell>
          <cell r="AD67">
            <v>10</v>
          </cell>
          <cell r="AE67">
            <v>26</v>
          </cell>
          <cell r="AF67">
            <v>37</v>
          </cell>
          <cell r="AG67">
            <v>29</v>
          </cell>
          <cell r="AH67">
            <v>13</v>
          </cell>
          <cell r="AI67">
            <v>32</v>
          </cell>
          <cell r="AJ67">
            <v>41</v>
          </cell>
          <cell r="AK67">
            <v>65</v>
          </cell>
          <cell r="AL67">
            <v>45</v>
          </cell>
          <cell r="AM67">
            <v>5</v>
          </cell>
        </row>
        <row r="68">
          <cell r="K68">
            <v>25</v>
          </cell>
          <cell r="L68">
            <v>74</v>
          </cell>
          <cell r="M68">
            <v>10000000</v>
          </cell>
          <cell r="N68">
            <v>26</v>
          </cell>
          <cell r="O68">
            <v>25</v>
          </cell>
          <cell r="P68">
            <v>37</v>
          </cell>
          <cell r="Q68">
            <v>97</v>
          </cell>
          <cell r="R68">
            <v>2</v>
          </cell>
          <cell r="S68">
            <v>40</v>
          </cell>
          <cell r="T68">
            <v>16</v>
          </cell>
          <cell r="U68">
            <v>41</v>
          </cell>
          <cell r="V68">
            <v>0</v>
          </cell>
          <cell r="W68">
            <v>81</v>
          </cell>
          <cell r="X68">
            <v>73</v>
          </cell>
          <cell r="Y68">
            <v>40</v>
          </cell>
          <cell r="Z68">
            <v>17</v>
          </cell>
          <cell r="AA68">
            <v>26</v>
          </cell>
          <cell r="AB68">
            <v>72</v>
          </cell>
          <cell r="AC68">
            <v>0</v>
          </cell>
          <cell r="AD68">
            <v>40</v>
          </cell>
          <cell r="AE68">
            <v>20</v>
          </cell>
          <cell r="AF68">
            <v>65</v>
          </cell>
          <cell r="AG68">
            <v>25</v>
          </cell>
          <cell r="AH68">
            <v>85</v>
          </cell>
          <cell r="AI68">
            <v>10</v>
          </cell>
          <cell r="AJ68">
            <v>9</v>
          </cell>
          <cell r="AK68">
            <v>1</v>
          </cell>
          <cell r="AL68">
            <v>5</v>
          </cell>
          <cell r="AM68">
            <v>117</v>
          </cell>
        </row>
        <row r="69">
          <cell r="K69">
            <v>1</v>
          </cell>
          <cell r="L69">
            <v>20</v>
          </cell>
          <cell r="M69">
            <v>26</v>
          </cell>
          <cell r="N69">
            <v>10000000</v>
          </cell>
          <cell r="O69">
            <v>41</v>
          </cell>
          <cell r="P69">
            <v>5</v>
          </cell>
          <cell r="Q69">
            <v>25</v>
          </cell>
          <cell r="R69">
            <v>16</v>
          </cell>
          <cell r="S69">
            <v>10</v>
          </cell>
          <cell r="T69">
            <v>34</v>
          </cell>
          <cell r="U69">
            <v>9</v>
          </cell>
          <cell r="V69">
            <v>26</v>
          </cell>
          <cell r="W69">
            <v>17</v>
          </cell>
          <cell r="X69">
            <v>25</v>
          </cell>
          <cell r="Y69">
            <v>10</v>
          </cell>
          <cell r="Z69">
            <v>1</v>
          </cell>
          <cell r="AA69">
            <v>4</v>
          </cell>
          <cell r="AB69">
            <v>26</v>
          </cell>
          <cell r="AC69">
            <v>26</v>
          </cell>
          <cell r="AD69">
            <v>2</v>
          </cell>
          <cell r="AE69">
            <v>18</v>
          </cell>
          <cell r="AF69">
            <v>13</v>
          </cell>
          <cell r="AG69">
            <v>1</v>
          </cell>
          <cell r="AH69">
            <v>17</v>
          </cell>
          <cell r="AI69">
            <v>4</v>
          </cell>
          <cell r="AJ69">
            <v>5</v>
          </cell>
          <cell r="AK69">
            <v>25</v>
          </cell>
          <cell r="AL69">
            <v>17</v>
          </cell>
          <cell r="AM69">
            <v>41</v>
          </cell>
        </row>
        <row r="70">
          <cell r="K70">
            <v>50</v>
          </cell>
          <cell r="L70">
            <v>49</v>
          </cell>
          <cell r="M70">
            <v>25</v>
          </cell>
          <cell r="N70">
            <v>41</v>
          </cell>
          <cell r="O70">
            <v>10000000</v>
          </cell>
          <cell r="P70">
            <v>72</v>
          </cell>
          <cell r="Q70">
            <v>82</v>
          </cell>
          <cell r="R70">
            <v>17</v>
          </cell>
          <cell r="S70">
            <v>85</v>
          </cell>
          <cell r="T70">
            <v>1</v>
          </cell>
          <cell r="U70">
            <v>26</v>
          </cell>
          <cell r="V70">
            <v>25</v>
          </cell>
          <cell r="W70">
            <v>106</v>
          </cell>
          <cell r="X70">
            <v>128</v>
          </cell>
          <cell r="Y70">
            <v>85</v>
          </cell>
          <cell r="Z70">
            <v>32</v>
          </cell>
          <cell r="AA70">
            <v>61</v>
          </cell>
          <cell r="AB70">
            <v>37</v>
          </cell>
          <cell r="AC70">
            <v>25</v>
          </cell>
          <cell r="AD70">
            <v>45</v>
          </cell>
          <cell r="AE70">
            <v>5</v>
          </cell>
          <cell r="AF70">
            <v>100</v>
          </cell>
          <cell r="AG70">
            <v>50</v>
          </cell>
          <cell r="AH70">
            <v>90</v>
          </cell>
          <cell r="AI70">
            <v>25</v>
          </cell>
          <cell r="AJ70">
            <v>34</v>
          </cell>
          <cell r="AK70">
            <v>16</v>
          </cell>
          <cell r="AL70">
            <v>10</v>
          </cell>
          <cell r="AM70">
            <v>82</v>
          </cell>
        </row>
        <row r="71">
          <cell r="K71">
            <v>2</v>
          </cell>
          <cell r="L71">
            <v>37</v>
          </cell>
          <cell r="M71">
            <v>37</v>
          </cell>
          <cell r="N71">
            <v>5</v>
          </cell>
          <cell r="O71">
            <v>72</v>
          </cell>
          <cell r="P71">
            <v>10000000</v>
          </cell>
          <cell r="Q71">
            <v>34</v>
          </cell>
          <cell r="R71">
            <v>29</v>
          </cell>
          <cell r="S71">
            <v>1</v>
          </cell>
          <cell r="T71">
            <v>61</v>
          </cell>
          <cell r="U71">
            <v>26</v>
          </cell>
          <cell r="V71">
            <v>37</v>
          </cell>
          <cell r="W71">
            <v>10</v>
          </cell>
          <cell r="X71">
            <v>8</v>
          </cell>
          <cell r="Y71">
            <v>1</v>
          </cell>
          <cell r="Z71">
            <v>8</v>
          </cell>
          <cell r="AA71">
            <v>1</v>
          </cell>
          <cell r="AB71">
            <v>49</v>
          </cell>
          <cell r="AC71">
            <v>37</v>
          </cell>
          <cell r="AD71">
            <v>9</v>
          </cell>
          <cell r="AE71">
            <v>41</v>
          </cell>
          <cell r="AF71">
            <v>4</v>
          </cell>
          <cell r="AG71">
            <v>2</v>
          </cell>
          <cell r="AH71">
            <v>18</v>
          </cell>
          <cell r="AI71">
            <v>13</v>
          </cell>
          <cell r="AJ71">
            <v>10</v>
          </cell>
          <cell r="AK71">
            <v>40</v>
          </cell>
          <cell r="AL71">
            <v>34</v>
          </cell>
          <cell r="AM71">
            <v>58</v>
          </cell>
        </row>
        <row r="72">
          <cell r="K72">
            <v>32</v>
          </cell>
          <cell r="L72">
            <v>5</v>
          </cell>
          <cell r="M72">
            <v>97</v>
          </cell>
          <cell r="N72">
            <v>25</v>
          </cell>
          <cell r="O72">
            <v>82</v>
          </cell>
          <cell r="P72">
            <v>34</v>
          </cell>
          <cell r="Q72">
            <v>10000000</v>
          </cell>
          <cell r="R72">
            <v>73</v>
          </cell>
          <cell r="S72">
            <v>45</v>
          </cell>
          <cell r="T72">
            <v>81</v>
          </cell>
          <cell r="U72">
            <v>16</v>
          </cell>
          <cell r="V72">
            <v>97</v>
          </cell>
          <cell r="W72">
            <v>16</v>
          </cell>
          <cell r="X72">
            <v>50</v>
          </cell>
          <cell r="Y72">
            <v>45</v>
          </cell>
          <cell r="Z72">
            <v>34</v>
          </cell>
          <cell r="AA72">
            <v>41</v>
          </cell>
          <cell r="AB72">
            <v>13</v>
          </cell>
          <cell r="AC72">
            <v>97</v>
          </cell>
          <cell r="AD72">
            <v>13</v>
          </cell>
          <cell r="AE72">
            <v>49</v>
          </cell>
          <cell r="AF72">
            <v>26</v>
          </cell>
          <cell r="AG72">
            <v>32</v>
          </cell>
          <cell r="AH72">
            <v>4</v>
          </cell>
          <cell r="AI72">
            <v>45</v>
          </cell>
          <cell r="AJ72">
            <v>52</v>
          </cell>
          <cell r="AK72">
            <v>90</v>
          </cell>
          <cell r="AL72">
            <v>68</v>
          </cell>
          <cell r="AM72">
            <v>4</v>
          </cell>
        </row>
        <row r="73">
          <cell r="K73">
            <v>17</v>
          </cell>
          <cell r="L73">
            <v>52</v>
          </cell>
          <cell r="M73">
            <v>2</v>
          </cell>
          <cell r="N73">
            <v>16</v>
          </cell>
          <cell r="O73">
            <v>17</v>
          </cell>
          <cell r="P73">
            <v>29</v>
          </cell>
          <cell r="Q73">
            <v>73</v>
          </cell>
          <cell r="R73">
            <v>10000000</v>
          </cell>
          <cell r="S73">
            <v>34</v>
          </cell>
          <cell r="T73">
            <v>10</v>
          </cell>
          <cell r="U73">
            <v>25</v>
          </cell>
          <cell r="V73">
            <v>2</v>
          </cell>
          <cell r="W73">
            <v>65</v>
          </cell>
          <cell r="X73">
            <v>65</v>
          </cell>
          <cell r="Y73">
            <v>34</v>
          </cell>
          <cell r="Z73">
            <v>9</v>
          </cell>
          <cell r="AA73">
            <v>20</v>
          </cell>
          <cell r="AB73">
            <v>50</v>
          </cell>
          <cell r="AC73">
            <v>2</v>
          </cell>
          <cell r="AD73">
            <v>26</v>
          </cell>
          <cell r="AE73">
            <v>10</v>
          </cell>
          <cell r="AF73">
            <v>53</v>
          </cell>
          <cell r="AG73">
            <v>17</v>
          </cell>
          <cell r="AH73">
            <v>65</v>
          </cell>
          <cell r="AI73">
            <v>4</v>
          </cell>
          <cell r="AJ73">
            <v>5</v>
          </cell>
          <cell r="AK73">
            <v>1</v>
          </cell>
          <cell r="AL73">
            <v>1</v>
          </cell>
          <cell r="AM73">
            <v>89</v>
          </cell>
        </row>
        <row r="74">
          <cell r="K74">
            <v>5</v>
          </cell>
          <cell r="L74">
            <v>50</v>
          </cell>
          <cell r="M74">
            <v>40</v>
          </cell>
          <cell r="N74">
            <v>10</v>
          </cell>
          <cell r="O74">
            <v>85</v>
          </cell>
          <cell r="P74">
            <v>1</v>
          </cell>
          <cell r="Q74">
            <v>45</v>
          </cell>
          <cell r="R74">
            <v>34</v>
          </cell>
          <cell r="S74">
            <v>10000000</v>
          </cell>
          <cell r="T74">
            <v>72</v>
          </cell>
          <cell r="U74">
            <v>37</v>
          </cell>
          <cell r="V74">
            <v>40</v>
          </cell>
          <cell r="W74">
            <v>13</v>
          </cell>
          <cell r="X74">
            <v>5</v>
          </cell>
          <cell r="Y74">
            <v>0</v>
          </cell>
          <cell r="Z74">
            <v>13</v>
          </cell>
          <cell r="AA74">
            <v>2</v>
          </cell>
          <cell r="AB74">
            <v>64</v>
          </cell>
          <cell r="AC74">
            <v>40</v>
          </cell>
          <cell r="AD74">
            <v>16</v>
          </cell>
          <cell r="AE74">
            <v>52</v>
          </cell>
          <cell r="AF74">
            <v>5</v>
          </cell>
          <cell r="AG74">
            <v>5</v>
          </cell>
          <cell r="AH74">
            <v>25</v>
          </cell>
          <cell r="AI74">
            <v>18</v>
          </cell>
          <cell r="AJ74">
            <v>13</v>
          </cell>
          <cell r="AK74">
            <v>45</v>
          </cell>
          <cell r="AL74">
            <v>41</v>
          </cell>
          <cell r="AM74">
            <v>73</v>
          </cell>
        </row>
        <row r="75">
          <cell r="K75">
            <v>41</v>
          </cell>
          <cell r="L75">
            <v>50</v>
          </cell>
          <cell r="M75">
            <v>16</v>
          </cell>
          <cell r="N75">
            <v>34</v>
          </cell>
          <cell r="O75">
            <v>1</v>
          </cell>
          <cell r="P75">
            <v>61</v>
          </cell>
          <cell r="Q75">
            <v>81</v>
          </cell>
          <cell r="R75">
            <v>10</v>
          </cell>
          <cell r="S75">
            <v>72</v>
          </cell>
          <cell r="T75">
            <v>10000000</v>
          </cell>
          <cell r="U75">
            <v>25</v>
          </cell>
          <cell r="V75">
            <v>16</v>
          </cell>
          <cell r="W75">
            <v>97</v>
          </cell>
          <cell r="X75">
            <v>113</v>
          </cell>
          <cell r="Y75">
            <v>72</v>
          </cell>
          <cell r="Z75">
            <v>25</v>
          </cell>
          <cell r="AA75">
            <v>50</v>
          </cell>
          <cell r="AB75">
            <v>40</v>
          </cell>
          <cell r="AC75">
            <v>16</v>
          </cell>
          <cell r="AD75">
            <v>40</v>
          </cell>
          <cell r="AE75">
            <v>4</v>
          </cell>
          <cell r="AF75">
            <v>89</v>
          </cell>
          <cell r="AG75">
            <v>41</v>
          </cell>
          <cell r="AH75">
            <v>85</v>
          </cell>
          <cell r="AI75">
            <v>18</v>
          </cell>
          <cell r="AJ75">
            <v>25</v>
          </cell>
          <cell r="AK75">
            <v>9</v>
          </cell>
          <cell r="AL75">
            <v>5</v>
          </cell>
          <cell r="AM75">
            <v>85</v>
          </cell>
        </row>
        <row r="76">
          <cell r="K76">
            <v>16</v>
          </cell>
          <cell r="L76">
            <v>5</v>
          </cell>
          <cell r="M76">
            <v>41</v>
          </cell>
          <cell r="N76">
            <v>9</v>
          </cell>
          <cell r="O76">
            <v>26</v>
          </cell>
          <cell r="P76">
            <v>26</v>
          </cell>
          <cell r="Q76">
            <v>16</v>
          </cell>
          <cell r="R76">
            <v>25</v>
          </cell>
          <cell r="S76">
            <v>37</v>
          </cell>
          <cell r="T76">
            <v>25</v>
          </cell>
          <cell r="U76">
            <v>10000000</v>
          </cell>
          <cell r="V76">
            <v>41</v>
          </cell>
          <cell r="W76">
            <v>32</v>
          </cell>
          <cell r="X76">
            <v>58</v>
          </cell>
          <cell r="Y76">
            <v>37</v>
          </cell>
          <cell r="Z76">
            <v>10</v>
          </cell>
          <cell r="AA76">
            <v>25</v>
          </cell>
          <cell r="AB76">
            <v>5</v>
          </cell>
          <cell r="AC76">
            <v>41</v>
          </cell>
          <cell r="AD76">
            <v>5</v>
          </cell>
          <cell r="AE76">
            <v>9</v>
          </cell>
          <cell r="AF76">
            <v>34</v>
          </cell>
          <cell r="AG76">
            <v>16</v>
          </cell>
          <cell r="AH76">
            <v>20</v>
          </cell>
          <cell r="AI76">
            <v>13</v>
          </cell>
          <cell r="AJ76">
            <v>20</v>
          </cell>
          <cell r="AK76">
            <v>34</v>
          </cell>
          <cell r="AL76">
            <v>20</v>
          </cell>
          <cell r="AM76">
            <v>20</v>
          </cell>
        </row>
        <row r="77">
          <cell r="K77">
            <v>25</v>
          </cell>
          <cell r="L77">
            <v>74</v>
          </cell>
          <cell r="M77">
            <v>0</v>
          </cell>
          <cell r="N77">
            <v>26</v>
          </cell>
          <cell r="O77">
            <v>25</v>
          </cell>
          <cell r="P77">
            <v>37</v>
          </cell>
          <cell r="Q77">
            <v>97</v>
          </cell>
          <cell r="R77">
            <v>2</v>
          </cell>
          <cell r="S77">
            <v>40</v>
          </cell>
          <cell r="T77">
            <v>16</v>
          </cell>
          <cell r="U77">
            <v>41</v>
          </cell>
          <cell r="V77">
            <v>10000000</v>
          </cell>
          <cell r="W77">
            <v>81</v>
          </cell>
          <cell r="X77">
            <v>73</v>
          </cell>
          <cell r="Y77">
            <v>40</v>
          </cell>
          <cell r="Z77">
            <v>17</v>
          </cell>
          <cell r="AA77">
            <v>26</v>
          </cell>
          <cell r="AB77">
            <v>72</v>
          </cell>
          <cell r="AC77">
            <v>0</v>
          </cell>
          <cell r="AD77">
            <v>40</v>
          </cell>
          <cell r="AE77">
            <v>20</v>
          </cell>
          <cell r="AF77">
            <v>65</v>
          </cell>
          <cell r="AG77">
            <v>25</v>
          </cell>
          <cell r="AH77">
            <v>85</v>
          </cell>
          <cell r="AI77">
            <v>10</v>
          </cell>
          <cell r="AJ77">
            <v>9</v>
          </cell>
          <cell r="AK77">
            <v>1</v>
          </cell>
          <cell r="AL77">
            <v>5</v>
          </cell>
          <cell r="AM77">
            <v>117</v>
          </cell>
        </row>
        <row r="78">
          <cell r="K78">
            <v>16</v>
          </cell>
          <cell r="L78">
            <v>29</v>
          </cell>
          <cell r="M78">
            <v>81</v>
          </cell>
          <cell r="N78">
            <v>17</v>
          </cell>
          <cell r="O78">
            <v>106</v>
          </cell>
          <cell r="P78">
            <v>10</v>
          </cell>
          <cell r="Q78">
            <v>16</v>
          </cell>
          <cell r="R78">
            <v>65</v>
          </cell>
          <cell r="S78">
            <v>13</v>
          </cell>
          <cell r="T78">
            <v>97</v>
          </cell>
          <cell r="U78">
            <v>32</v>
          </cell>
          <cell r="V78">
            <v>81</v>
          </cell>
          <cell r="W78">
            <v>10000000</v>
          </cell>
          <cell r="X78">
            <v>10</v>
          </cell>
          <cell r="Y78">
            <v>13</v>
          </cell>
          <cell r="Z78">
            <v>26</v>
          </cell>
          <cell r="AA78">
            <v>17</v>
          </cell>
          <cell r="AB78">
            <v>45</v>
          </cell>
          <cell r="AC78">
            <v>81</v>
          </cell>
          <cell r="AD78">
            <v>13</v>
          </cell>
          <cell r="AE78">
            <v>65</v>
          </cell>
          <cell r="AF78">
            <v>2</v>
          </cell>
          <cell r="AG78">
            <v>16</v>
          </cell>
          <cell r="AH78">
            <v>4</v>
          </cell>
          <cell r="AI78">
            <v>37</v>
          </cell>
          <cell r="AJ78">
            <v>36</v>
          </cell>
          <cell r="AK78">
            <v>82</v>
          </cell>
          <cell r="AL78">
            <v>68</v>
          </cell>
          <cell r="AM78">
            <v>36</v>
          </cell>
        </row>
        <row r="79">
          <cell r="K79">
            <v>18</v>
          </cell>
          <cell r="L79">
            <v>65</v>
          </cell>
          <cell r="M79">
            <v>73</v>
          </cell>
          <cell r="N79">
            <v>25</v>
          </cell>
          <cell r="O79">
            <v>128</v>
          </cell>
          <cell r="P79">
            <v>8</v>
          </cell>
          <cell r="Q79">
            <v>50</v>
          </cell>
          <cell r="R79">
            <v>65</v>
          </cell>
          <cell r="S79">
            <v>5</v>
          </cell>
          <cell r="T79">
            <v>113</v>
          </cell>
          <cell r="U79">
            <v>58</v>
          </cell>
          <cell r="V79">
            <v>73</v>
          </cell>
          <cell r="W79">
            <v>10</v>
          </cell>
          <cell r="X79">
            <v>10000000</v>
          </cell>
          <cell r="Y79">
            <v>5</v>
          </cell>
          <cell r="Z79">
            <v>32</v>
          </cell>
          <cell r="AA79">
            <v>13</v>
          </cell>
          <cell r="AB79">
            <v>85</v>
          </cell>
          <cell r="AC79">
            <v>73</v>
          </cell>
          <cell r="AD79">
            <v>29</v>
          </cell>
          <cell r="AE79">
            <v>85</v>
          </cell>
          <cell r="AF79">
            <v>4</v>
          </cell>
          <cell r="AG79">
            <v>18</v>
          </cell>
          <cell r="AH79">
            <v>26</v>
          </cell>
          <cell r="AI79">
            <v>41</v>
          </cell>
          <cell r="AJ79">
            <v>34</v>
          </cell>
          <cell r="AK79">
            <v>80</v>
          </cell>
          <cell r="AL79">
            <v>74</v>
          </cell>
          <cell r="AM79">
            <v>82</v>
          </cell>
        </row>
        <row r="80">
          <cell r="K80">
            <v>5</v>
          </cell>
          <cell r="L80">
            <v>50</v>
          </cell>
          <cell r="M80">
            <v>40</v>
          </cell>
          <cell r="N80">
            <v>10</v>
          </cell>
          <cell r="O80">
            <v>85</v>
          </cell>
          <cell r="P80">
            <v>1</v>
          </cell>
          <cell r="Q80">
            <v>45</v>
          </cell>
          <cell r="R80">
            <v>34</v>
          </cell>
          <cell r="S80">
            <v>0</v>
          </cell>
          <cell r="T80">
            <v>72</v>
          </cell>
          <cell r="U80">
            <v>37</v>
          </cell>
          <cell r="V80">
            <v>40</v>
          </cell>
          <cell r="W80">
            <v>13</v>
          </cell>
          <cell r="X80">
            <v>5</v>
          </cell>
          <cell r="Y80">
            <v>10000000</v>
          </cell>
          <cell r="Z80">
            <v>13</v>
          </cell>
          <cell r="AA80">
            <v>2</v>
          </cell>
          <cell r="AB80">
            <v>64</v>
          </cell>
          <cell r="AC80">
            <v>40</v>
          </cell>
          <cell r="AD80">
            <v>16</v>
          </cell>
          <cell r="AE80">
            <v>52</v>
          </cell>
          <cell r="AF80">
            <v>5</v>
          </cell>
          <cell r="AG80">
            <v>5</v>
          </cell>
          <cell r="AH80">
            <v>25</v>
          </cell>
          <cell r="AI80">
            <v>18</v>
          </cell>
          <cell r="AJ80">
            <v>13</v>
          </cell>
          <cell r="AK80">
            <v>45</v>
          </cell>
          <cell r="AL80">
            <v>41</v>
          </cell>
          <cell r="AM80">
            <v>73</v>
          </cell>
        </row>
        <row r="81">
          <cell r="K81">
            <v>2</v>
          </cell>
          <cell r="L81">
            <v>25</v>
          </cell>
          <cell r="M81">
            <v>17</v>
          </cell>
          <cell r="N81">
            <v>1</v>
          </cell>
          <cell r="O81">
            <v>32</v>
          </cell>
          <cell r="P81">
            <v>8</v>
          </cell>
          <cell r="Q81">
            <v>34</v>
          </cell>
          <cell r="R81">
            <v>9</v>
          </cell>
          <cell r="S81">
            <v>13</v>
          </cell>
          <cell r="T81">
            <v>25</v>
          </cell>
          <cell r="U81">
            <v>10</v>
          </cell>
          <cell r="V81">
            <v>17</v>
          </cell>
          <cell r="W81">
            <v>26</v>
          </cell>
          <cell r="X81">
            <v>32</v>
          </cell>
          <cell r="Y81">
            <v>13</v>
          </cell>
          <cell r="Z81">
            <v>10000000</v>
          </cell>
          <cell r="AA81">
            <v>5</v>
          </cell>
          <cell r="AB81">
            <v>29</v>
          </cell>
          <cell r="AC81">
            <v>17</v>
          </cell>
          <cell r="AD81">
            <v>5</v>
          </cell>
          <cell r="AE81">
            <v>13</v>
          </cell>
          <cell r="AF81">
            <v>20</v>
          </cell>
          <cell r="AG81">
            <v>2</v>
          </cell>
          <cell r="AH81">
            <v>26</v>
          </cell>
          <cell r="AI81">
            <v>1</v>
          </cell>
          <cell r="AJ81">
            <v>2</v>
          </cell>
          <cell r="AK81">
            <v>16</v>
          </cell>
          <cell r="AL81">
            <v>10</v>
          </cell>
          <cell r="AM81">
            <v>50</v>
          </cell>
        </row>
        <row r="82">
          <cell r="K82">
            <v>1</v>
          </cell>
          <cell r="L82">
            <v>40</v>
          </cell>
          <cell r="M82">
            <v>26</v>
          </cell>
          <cell r="N82">
            <v>4</v>
          </cell>
          <cell r="O82">
            <v>61</v>
          </cell>
          <cell r="P82">
            <v>1</v>
          </cell>
          <cell r="Q82">
            <v>41</v>
          </cell>
          <cell r="R82">
            <v>20</v>
          </cell>
          <cell r="S82">
            <v>2</v>
          </cell>
          <cell r="T82">
            <v>50</v>
          </cell>
          <cell r="U82">
            <v>25</v>
          </cell>
          <cell r="V82">
            <v>26</v>
          </cell>
          <cell r="W82">
            <v>17</v>
          </cell>
          <cell r="X82">
            <v>13</v>
          </cell>
          <cell r="Y82">
            <v>2</v>
          </cell>
          <cell r="Z82">
            <v>5</v>
          </cell>
          <cell r="AA82">
            <v>10000000</v>
          </cell>
          <cell r="AB82">
            <v>50</v>
          </cell>
          <cell r="AC82">
            <v>26</v>
          </cell>
          <cell r="AD82">
            <v>10</v>
          </cell>
          <cell r="AE82">
            <v>34</v>
          </cell>
          <cell r="AF82">
            <v>9</v>
          </cell>
          <cell r="AG82">
            <v>1</v>
          </cell>
          <cell r="AH82">
            <v>25</v>
          </cell>
          <cell r="AI82">
            <v>8</v>
          </cell>
          <cell r="AJ82">
            <v>5</v>
          </cell>
          <cell r="AK82">
            <v>29</v>
          </cell>
          <cell r="AL82">
            <v>25</v>
          </cell>
          <cell r="AM82">
            <v>65</v>
          </cell>
        </row>
        <row r="83">
          <cell r="K83">
            <v>37</v>
          </cell>
          <cell r="L83">
            <v>2</v>
          </cell>
          <cell r="M83">
            <v>72</v>
          </cell>
          <cell r="N83">
            <v>26</v>
          </cell>
          <cell r="O83">
            <v>37</v>
          </cell>
          <cell r="P83">
            <v>49</v>
          </cell>
          <cell r="Q83">
            <v>13</v>
          </cell>
          <cell r="R83">
            <v>50</v>
          </cell>
          <cell r="S83">
            <v>64</v>
          </cell>
          <cell r="T83">
            <v>40</v>
          </cell>
          <cell r="U83">
            <v>5</v>
          </cell>
          <cell r="V83">
            <v>72</v>
          </cell>
          <cell r="W83">
            <v>45</v>
          </cell>
          <cell r="X83">
            <v>85</v>
          </cell>
          <cell r="Y83">
            <v>64</v>
          </cell>
          <cell r="Z83">
            <v>29</v>
          </cell>
          <cell r="AA83">
            <v>50</v>
          </cell>
          <cell r="AB83">
            <v>10000000</v>
          </cell>
          <cell r="AC83">
            <v>72</v>
          </cell>
          <cell r="AD83">
            <v>16</v>
          </cell>
          <cell r="AE83">
            <v>20</v>
          </cell>
          <cell r="AF83">
            <v>53</v>
          </cell>
          <cell r="AG83">
            <v>37</v>
          </cell>
          <cell r="AH83">
            <v>25</v>
          </cell>
          <cell r="AI83">
            <v>34</v>
          </cell>
          <cell r="AJ83">
            <v>45</v>
          </cell>
          <cell r="AK83">
            <v>61</v>
          </cell>
          <cell r="AL83">
            <v>41</v>
          </cell>
          <cell r="AM83">
            <v>9</v>
          </cell>
        </row>
        <row r="84">
          <cell r="K84">
            <v>25</v>
          </cell>
          <cell r="L84">
            <v>74</v>
          </cell>
          <cell r="M84">
            <v>0</v>
          </cell>
          <cell r="N84">
            <v>26</v>
          </cell>
          <cell r="O84">
            <v>25</v>
          </cell>
          <cell r="P84">
            <v>37</v>
          </cell>
          <cell r="Q84">
            <v>97</v>
          </cell>
          <cell r="R84">
            <v>2</v>
          </cell>
          <cell r="S84">
            <v>40</v>
          </cell>
          <cell r="T84">
            <v>16</v>
          </cell>
          <cell r="U84">
            <v>41</v>
          </cell>
          <cell r="V84">
            <v>0</v>
          </cell>
          <cell r="W84">
            <v>81</v>
          </cell>
          <cell r="X84">
            <v>73</v>
          </cell>
          <cell r="Y84">
            <v>40</v>
          </cell>
          <cell r="Z84">
            <v>17</v>
          </cell>
          <cell r="AA84">
            <v>26</v>
          </cell>
          <cell r="AB84">
            <v>72</v>
          </cell>
          <cell r="AC84">
            <v>10000000</v>
          </cell>
          <cell r="AD84">
            <v>40</v>
          </cell>
          <cell r="AE84">
            <v>20</v>
          </cell>
          <cell r="AF84">
            <v>65</v>
          </cell>
          <cell r="AG84">
            <v>25</v>
          </cell>
          <cell r="AH84">
            <v>85</v>
          </cell>
          <cell r="AI84">
            <v>10</v>
          </cell>
          <cell r="AJ84">
            <v>9</v>
          </cell>
          <cell r="AK84">
            <v>1</v>
          </cell>
          <cell r="AL84">
            <v>5</v>
          </cell>
          <cell r="AM84">
            <v>117</v>
          </cell>
        </row>
        <row r="85">
          <cell r="K85">
            <v>5</v>
          </cell>
          <cell r="L85">
            <v>10</v>
          </cell>
          <cell r="M85">
            <v>40</v>
          </cell>
          <cell r="N85">
            <v>2</v>
          </cell>
          <cell r="O85">
            <v>45</v>
          </cell>
          <cell r="P85">
            <v>9</v>
          </cell>
          <cell r="Q85">
            <v>13</v>
          </cell>
          <cell r="R85">
            <v>26</v>
          </cell>
          <cell r="S85">
            <v>16</v>
          </cell>
          <cell r="T85">
            <v>40</v>
          </cell>
          <cell r="U85">
            <v>5</v>
          </cell>
          <cell r="V85">
            <v>40</v>
          </cell>
          <cell r="W85">
            <v>13</v>
          </cell>
          <cell r="X85">
            <v>29</v>
          </cell>
          <cell r="Y85">
            <v>16</v>
          </cell>
          <cell r="Z85">
            <v>5</v>
          </cell>
          <cell r="AA85">
            <v>10</v>
          </cell>
          <cell r="AB85">
            <v>16</v>
          </cell>
          <cell r="AC85">
            <v>40</v>
          </cell>
          <cell r="AD85">
            <v>10000000</v>
          </cell>
          <cell r="AE85">
            <v>20</v>
          </cell>
          <cell r="AF85">
            <v>13</v>
          </cell>
          <cell r="AG85">
            <v>5</v>
          </cell>
          <cell r="AH85">
            <v>9</v>
          </cell>
          <cell r="AI85">
            <v>10</v>
          </cell>
          <cell r="AJ85">
            <v>13</v>
          </cell>
          <cell r="AK85">
            <v>37</v>
          </cell>
          <cell r="AL85">
            <v>25</v>
          </cell>
          <cell r="AM85">
            <v>25</v>
          </cell>
        </row>
        <row r="86">
          <cell r="K86">
            <v>25</v>
          </cell>
          <cell r="L86">
            <v>26</v>
          </cell>
          <cell r="M86">
            <v>20</v>
          </cell>
          <cell r="N86">
            <v>18</v>
          </cell>
          <cell r="O86">
            <v>5</v>
          </cell>
          <cell r="P86">
            <v>41</v>
          </cell>
          <cell r="Q86">
            <v>49</v>
          </cell>
          <cell r="R86">
            <v>10</v>
          </cell>
          <cell r="S86">
            <v>52</v>
          </cell>
          <cell r="T86">
            <v>4</v>
          </cell>
          <cell r="U86">
            <v>9</v>
          </cell>
          <cell r="V86">
            <v>20</v>
          </cell>
          <cell r="W86">
            <v>65</v>
          </cell>
          <cell r="X86">
            <v>85</v>
          </cell>
          <cell r="Y86">
            <v>52</v>
          </cell>
          <cell r="Z86">
            <v>13</v>
          </cell>
          <cell r="AA86">
            <v>34</v>
          </cell>
          <cell r="AB86">
            <v>20</v>
          </cell>
          <cell r="AC86">
            <v>20</v>
          </cell>
          <cell r="AD86">
            <v>20</v>
          </cell>
          <cell r="AE86">
            <v>10000000</v>
          </cell>
          <cell r="AF86">
            <v>61</v>
          </cell>
          <cell r="AG86">
            <v>25</v>
          </cell>
          <cell r="AH86">
            <v>53</v>
          </cell>
          <cell r="AI86">
            <v>10</v>
          </cell>
          <cell r="AJ86">
            <v>17</v>
          </cell>
          <cell r="AK86">
            <v>13</v>
          </cell>
          <cell r="AL86">
            <v>5</v>
          </cell>
          <cell r="AM86">
            <v>53</v>
          </cell>
        </row>
        <row r="87">
          <cell r="K87">
            <v>10</v>
          </cell>
          <cell r="L87">
            <v>37</v>
          </cell>
          <cell r="M87">
            <v>65</v>
          </cell>
          <cell r="N87">
            <v>13</v>
          </cell>
          <cell r="O87">
            <v>100</v>
          </cell>
          <cell r="P87">
            <v>4</v>
          </cell>
          <cell r="Q87">
            <v>26</v>
          </cell>
          <cell r="R87">
            <v>53</v>
          </cell>
          <cell r="S87">
            <v>5</v>
          </cell>
          <cell r="T87">
            <v>89</v>
          </cell>
          <cell r="U87">
            <v>34</v>
          </cell>
          <cell r="V87">
            <v>65</v>
          </cell>
          <cell r="W87">
            <v>2</v>
          </cell>
          <cell r="X87">
            <v>4</v>
          </cell>
          <cell r="Y87">
            <v>5</v>
          </cell>
          <cell r="Z87">
            <v>20</v>
          </cell>
          <cell r="AA87">
            <v>9</v>
          </cell>
          <cell r="AB87">
            <v>53</v>
          </cell>
          <cell r="AC87">
            <v>65</v>
          </cell>
          <cell r="AD87">
            <v>13</v>
          </cell>
          <cell r="AE87">
            <v>61</v>
          </cell>
          <cell r="AF87">
            <v>10000000</v>
          </cell>
          <cell r="AG87">
            <v>10</v>
          </cell>
          <cell r="AH87">
            <v>10</v>
          </cell>
          <cell r="AI87">
            <v>29</v>
          </cell>
          <cell r="AJ87">
            <v>26</v>
          </cell>
          <cell r="AK87">
            <v>68</v>
          </cell>
          <cell r="AL87">
            <v>58</v>
          </cell>
          <cell r="AM87">
            <v>50</v>
          </cell>
        </row>
        <row r="88">
          <cell r="K88">
            <v>0</v>
          </cell>
          <cell r="L88">
            <v>29</v>
          </cell>
          <cell r="M88">
            <v>25</v>
          </cell>
          <cell r="N88">
            <v>1</v>
          </cell>
          <cell r="O88">
            <v>50</v>
          </cell>
          <cell r="P88">
            <v>2</v>
          </cell>
          <cell r="Q88">
            <v>32</v>
          </cell>
          <cell r="R88">
            <v>17</v>
          </cell>
          <cell r="S88">
            <v>5</v>
          </cell>
          <cell r="T88">
            <v>41</v>
          </cell>
          <cell r="U88">
            <v>16</v>
          </cell>
          <cell r="V88">
            <v>25</v>
          </cell>
          <cell r="W88">
            <v>16</v>
          </cell>
          <cell r="X88">
            <v>18</v>
          </cell>
          <cell r="Y88">
            <v>5</v>
          </cell>
          <cell r="Z88">
            <v>2</v>
          </cell>
          <cell r="AA88">
            <v>1</v>
          </cell>
          <cell r="AB88">
            <v>37</v>
          </cell>
          <cell r="AC88">
            <v>25</v>
          </cell>
          <cell r="AD88">
            <v>5</v>
          </cell>
          <cell r="AE88">
            <v>25</v>
          </cell>
          <cell r="AF88">
            <v>10</v>
          </cell>
          <cell r="AG88">
            <v>10000000</v>
          </cell>
          <cell r="AH88">
            <v>20</v>
          </cell>
          <cell r="AI88">
            <v>5</v>
          </cell>
          <cell r="AJ88">
            <v>4</v>
          </cell>
          <cell r="AK88">
            <v>26</v>
          </cell>
          <cell r="AL88">
            <v>20</v>
          </cell>
          <cell r="AM88">
            <v>52</v>
          </cell>
        </row>
        <row r="89">
          <cell r="K89">
            <v>20</v>
          </cell>
          <cell r="L89">
            <v>13</v>
          </cell>
          <cell r="M89">
            <v>85</v>
          </cell>
          <cell r="N89">
            <v>17</v>
          </cell>
          <cell r="O89">
            <v>90</v>
          </cell>
          <cell r="P89">
            <v>18</v>
          </cell>
          <cell r="Q89">
            <v>4</v>
          </cell>
          <cell r="R89">
            <v>65</v>
          </cell>
          <cell r="S89">
            <v>25</v>
          </cell>
          <cell r="T89">
            <v>85</v>
          </cell>
          <cell r="U89">
            <v>20</v>
          </cell>
          <cell r="V89">
            <v>85</v>
          </cell>
          <cell r="W89">
            <v>4</v>
          </cell>
          <cell r="X89">
            <v>26</v>
          </cell>
          <cell r="Y89">
            <v>25</v>
          </cell>
          <cell r="Z89">
            <v>26</v>
          </cell>
          <cell r="AA89">
            <v>25</v>
          </cell>
          <cell r="AB89">
            <v>25</v>
          </cell>
          <cell r="AC89">
            <v>85</v>
          </cell>
          <cell r="AD89">
            <v>9</v>
          </cell>
          <cell r="AE89">
            <v>53</v>
          </cell>
          <cell r="AF89">
            <v>10</v>
          </cell>
          <cell r="AG89">
            <v>20</v>
          </cell>
          <cell r="AH89">
            <v>10000000</v>
          </cell>
          <cell r="AI89">
            <v>37</v>
          </cell>
          <cell r="AJ89">
            <v>40</v>
          </cell>
          <cell r="AK89">
            <v>82</v>
          </cell>
          <cell r="AL89">
            <v>64</v>
          </cell>
          <cell r="AM89">
            <v>16</v>
          </cell>
        </row>
        <row r="90">
          <cell r="K90">
            <v>5</v>
          </cell>
          <cell r="L90">
            <v>32</v>
          </cell>
          <cell r="M90">
            <v>10</v>
          </cell>
          <cell r="N90">
            <v>4</v>
          </cell>
          <cell r="O90">
            <v>25</v>
          </cell>
          <cell r="P90">
            <v>13</v>
          </cell>
          <cell r="Q90">
            <v>45</v>
          </cell>
          <cell r="R90">
            <v>4</v>
          </cell>
          <cell r="S90">
            <v>18</v>
          </cell>
          <cell r="T90">
            <v>18</v>
          </cell>
          <cell r="U90">
            <v>13</v>
          </cell>
          <cell r="V90">
            <v>10</v>
          </cell>
          <cell r="W90">
            <v>37</v>
          </cell>
          <cell r="X90">
            <v>41</v>
          </cell>
          <cell r="Y90">
            <v>18</v>
          </cell>
          <cell r="Z90">
            <v>1</v>
          </cell>
          <cell r="AA90">
            <v>8</v>
          </cell>
          <cell r="AB90">
            <v>34</v>
          </cell>
          <cell r="AC90">
            <v>10</v>
          </cell>
          <cell r="AD90">
            <v>10</v>
          </cell>
          <cell r="AE90">
            <v>10</v>
          </cell>
          <cell r="AF90">
            <v>29</v>
          </cell>
          <cell r="AG90">
            <v>5</v>
          </cell>
          <cell r="AH90">
            <v>37</v>
          </cell>
          <cell r="AI90">
            <v>10000000</v>
          </cell>
          <cell r="AJ90">
            <v>1</v>
          </cell>
          <cell r="AK90">
            <v>9</v>
          </cell>
          <cell r="AL90">
            <v>5</v>
          </cell>
          <cell r="AM90">
            <v>61</v>
          </cell>
        </row>
        <row r="91">
          <cell r="K91">
            <v>4</v>
          </cell>
          <cell r="L91">
            <v>41</v>
          </cell>
          <cell r="M91">
            <v>9</v>
          </cell>
          <cell r="N91">
            <v>5</v>
          </cell>
          <cell r="O91">
            <v>34</v>
          </cell>
          <cell r="P91">
            <v>10</v>
          </cell>
          <cell r="Q91">
            <v>52</v>
          </cell>
          <cell r="R91">
            <v>5</v>
          </cell>
          <cell r="S91">
            <v>13</v>
          </cell>
          <cell r="T91">
            <v>25</v>
          </cell>
          <cell r="U91">
            <v>20</v>
          </cell>
          <cell r="V91">
            <v>9</v>
          </cell>
          <cell r="W91">
            <v>36</v>
          </cell>
          <cell r="X91">
            <v>34</v>
          </cell>
          <cell r="Y91">
            <v>13</v>
          </cell>
          <cell r="Z91">
            <v>2</v>
          </cell>
          <cell r="AA91">
            <v>5</v>
          </cell>
          <cell r="AB91">
            <v>45</v>
          </cell>
          <cell r="AC91">
            <v>9</v>
          </cell>
          <cell r="AD91">
            <v>13</v>
          </cell>
          <cell r="AE91">
            <v>17</v>
          </cell>
          <cell r="AF91">
            <v>26</v>
          </cell>
          <cell r="AG91">
            <v>4</v>
          </cell>
          <cell r="AH91">
            <v>40</v>
          </cell>
          <cell r="AI91">
            <v>1</v>
          </cell>
          <cell r="AJ91">
            <v>10000000</v>
          </cell>
          <cell r="AK91">
            <v>10</v>
          </cell>
          <cell r="AL91">
            <v>8</v>
          </cell>
          <cell r="AM91">
            <v>72</v>
          </cell>
        </row>
        <row r="92">
          <cell r="K92">
            <v>26</v>
          </cell>
          <cell r="L92">
            <v>65</v>
          </cell>
          <cell r="M92">
            <v>1</v>
          </cell>
          <cell r="N92">
            <v>25</v>
          </cell>
          <cell r="O92">
            <v>16</v>
          </cell>
          <cell r="P92">
            <v>40</v>
          </cell>
          <cell r="Q92">
            <v>90</v>
          </cell>
          <cell r="R92">
            <v>1</v>
          </cell>
          <cell r="S92">
            <v>45</v>
          </cell>
          <cell r="T92">
            <v>9</v>
          </cell>
          <cell r="U92">
            <v>34</v>
          </cell>
          <cell r="V92">
            <v>1</v>
          </cell>
          <cell r="W92">
            <v>82</v>
          </cell>
          <cell r="X92">
            <v>80</v>
          </cell>
          <cell r="Y92">
            <v>45</v>
          </cell>
          <cell r="Z92">
            <v>16</v>
          </cell>
          <cell r="AA92">
            <v>29</v>
          </cell>
          <cell r="AB92">
            <v>61</v>
          </cell>
          <cell r="AC92">
            <v>1</v>
          </cell>
          <cell r="AD92">
            <v>37</v>
          </cell>
          <cell r="AE92">
            <v>13</v>
          </cell>
          <cell r="AF92">
            <v>68</v>
          </cell>
          <cell r="AG92">
            <v>26</v>
          </cell>
          <cell r="AH92">
            <v>82</v>
          </cell>
          <cell r="AI92">
            <v>9</v>
          </cell>
          <cell r="AJ92">
            <v>10</v>
          </cell>
          <cell r="AK92">
            <v>10000000</v>
          </cell>
          <cell r="AL92">
            <v>2</v>
          </cell>
          <cell r="AM92">
            <v>106</v>
          </cell>
        </row>
        <row r="93">
          <cell r="K93">
            <v>20</v>
          </cell>
          <cell r="L93">
            <v>45</v>
          </cell>
          <cell r="M93">
            <v>5</v>
          </cell>
          <cell r="N93">
            <v>17</v>
          </cell>
          <cell r="O93">
            <v>10</v>
          </cell>
          <cell r="P93">
            <v>34</v>
          </cell>
          <cell r="Q93">
            <v>68</v>
          </cell>
          <cell r="R93">
            <v>1</v>
          </cell>
          <cell r="S93">
            <v>41</v>
          </cell>
          <cell r="T93">
            <v>5</v>
          </cell>
          <cell r="U93">
            <v>20</v>
          </cell>
          <cell r="V93">
            <v>5</v>
          </cell>
          <cell r="W93">
            <v>68</v>
          </cell>
          <cell r="X93">
            <v>74</v>
          </cell>
          <cell r="Y93">
            <v>41</v>
          </cell>
          <cell r="Z93">
            <v>10</v>
          </cell>
          <cell r="AA93">
            <v>25</v>
          </cell>
          <cell r="AB93">
            <v>41</v>
          </cell>
          <cell r="AC93">
            <v>5</v>
          </cell>
          <cell r="AD93">
            <v>25</v>
          </cell>
          <cell r="AE93">
            <v>5</v>
          </cell>
          <cell r="AF93">
            <v>58</v>
          </cell>
          <cell r="AG93">
            <v>20</v>
          </cell>
          <cell r="AH93">
            <v>64</v>
          </cell>
          <cell r="AI93">
            <v>5</v>
          </cell>
          <cell r="AJ93">
            <v>8</v>
          </cell>
          <cell r="AK93">
            <v>2</v>
          </cell>
          <cell r="AL93">
            <v>10000000</v>
          </cell>
          <cell r="AM93">
            <v>80</v>
          </cell>
        </row>
        <row r="94">
          <cell r="K94">
            <v>52</v>
          </cell>
          <cell r="L94">
            <v>5</v>
          </cell>
          <cell r="M94">
            <v>117</v>
          </cell>
          <cell r="N94">
            <v>41</v>
          </cell>
          <cell r="O94">
            <v>82</v>
          </cell>
          <cell r="P94">
            <v>58</v>
          </cell>
          <cell r="Q94">
            <v>4</v>
          </cell>
          <cell r="R94">
            <v>89</v>
          </cell>
          <cell r="S94">
            <v>73</v>
          </cell>
          <cell r="T94">
            <v>85</v>
          </cell>
          <cell r="U94">
            <v>20</v>
          </cell>
          <cell r="V94">
            <v>117</v>
          </cell>
          <cell r="W94">
            <v>36</v>
          </cell>
          <cell r="X94">
            <v>82</v>
          </cell>
          <cell r="Y94">
            <v>73</v>
          </cell>
          <cell r="Z94">
            <v>50</v>
          </cell>
          <cell r="AA94">
            <v>65</v>
          </cell>
          <cell r="AB94">
            <v>9</v>
          </cell>
          <cell r="AC94">
            <v>117</v>
          </cell>
          <cell r="AD94">
            <v>25</v>
          </cell>
          <cell r="AE94">
            <v>53</v>
          </cell>
          <cell r="AF94">
            <v>50</v>
          </cell>
          <cell r="AG94">
            <v>52</v>
          </cell>
          <cell r="AH94">
            <v>16</v>
          </cell>
          <cell r="AI94">
            <v>61</v>
          </cell>
          <cell r="AJ94">
            <v>72</v>
          </cell>
          <cell r="AK94">
            <v>106</v>
          </cell>
          <cell r="AL94">
            <v>80</v>
          </cell>
          <cell r="AM94">
            <v>10000000</v>
          </cell>
        </row>
        <row r="98">
          <cell r="K98">
            <v>813</v>
          </cell>
          <cell r="L98">
            <v>455</v>
          </cell>
          <cell r="M98">
            <v>363</v>
          </cell>
          <cell r="N98">
            <v>11</v>
          </cell>
          <cell r="O98">
            <v>617</v>
          </cell>
          <cell r="P98">
            <v>43</v>
          </cell>
          <cell r="Q98">
            <v>471</v>
          </cell>
          <cell r="R98">
            <v>295</v>
          </cell>
          <cell r="S98">
            <v>93</v>
          </cell>
          <cell r="T98">
            <v>565</v>
          </cell>
          <cell r="U98">
            <v>263</v>
          </cell>
          <cell r="V98">
            <v>363</v>
          </cell>
          <cell r="W98">
            <v>263</v>
          </cell>
          <cell r="X98">
            <v>317</v>
          </cell>
          <cell r="Y98">
            <v>93</v>
          </cell>
          <cell r="Z98">
            <v>43</v>
          </cell>
          <cell r="AA98">
            <v>11</v>
          </cell>
          <cell r="AB98">
            <v>511</v>
          </cell>
          <cell r="AC98">
            <v>363</v>
          </cell>
          <cell r="AD98">
            <v>93</v>
          </cell>
          <cell r="AE98">
            <v>363</v>
          </cell>
          <cell r="AF98">
            <v>185</v>
          </cell>
          <cell r="AG98">
            <v>1</v>
          </cell>
          <cell r="AH98">
            <v>331</v>
          </cell>
          <cell r="AI98">
            <v>93</v>
          </cell>
          <cell r="AJ98">
            <v>71</v>
          </cell>
          <cell r="AK98">
            <v>419</v>
          </cell>
          <cell r="AL98">
            <v>331</v>
          </cell>
          <cell r="AM98">
            <v>639</v>
          </cell>
        </row>
        <row r="99">
          <cell r="K99">
            <v>455</v>
          </cell>
          <cell r="L99">
            <v>813</v>
          </cell>
          <cell r="M99">
            <v>733</v>
          </cell>
          <cell r="N99">
            <v>331</v>
          </cell>
          <cell r="O99">
            <v>611</v>
          </cell>
          <cell r="P99">
            <v>511</v>
          </cell>
          <cell r="Q99">
            <v>93</v>
          </cell>
          <cell r="R99">
            <v>639</v>
          </cell>
          <cell r="S99">
            <v>617</v>
          </cell>
          <cell r="T99">
            <v>617</v>
          </cell>
          <cell r="U99">
            <v>93</v>
          </cell>
          <cell r="V99">
            <v>733</v>
          </cell>
          <cell r="W99">
            <v>455</v>
          </cell>
          <cell r="X99">
            <v>681</v>
          </cell>
          <cell r="Y99">
            <v>617</v>
          </cell>
          <cell r="Z99">
            <v>363</v>
          </cell>
          <cell r="AA99">
            <v>537</v>
          </cell>
          <cell r="AB99">
            <v>43</v>
          </cell>
          <cell r="AC99">
            <v>733</v>
          </cell>
          <cell r="AD99">
            <v>185</v>
          </cell>
          <cell r="AE99">
            <v>419</v>
          </cell>
          <cell r="AF99">
            <v>511</v>
          </cell>
          <cell r="AG99">
            <v>455</v>
          </cell>
          <cell r="AH99">
            <v>227</v>
          </cell>
          <cell r="AI99">
            <v>471</v>
          </cell>
          <cell r="AJ99">
            <v>565</v>
          </cell>
          <cell r="AK99">
            <v>681</v>
          </cell>
          <cell r="AL99">
            <v>593</v>
          </cell>
          <cell r="AM99">
            <v>93</v>
          </cell>
        </row>
        <row r="100">
          <cell r="K100">
            <v>363</v>
          </cell>
          <cell r="L100">
            <v>733</v>
          </cell>
          <cell r="M100">
            <v>813</v>
          </cell>
          <cell r="N100">
            <v>419</v>
          </cell>
          <cell r="O100">
            <v>363</v>
          </cell>
          <cell r="P100">
            <v>511</v>
          </cell>
          <cell r="Q100">
            <v>789</v>
          </cell>
          <cell r="R100">
            <v>43</v>
          </cell>
          <cell r="S100">
            <v>537</v>
          </cell>
          <cell r="T100">
            <v>263</v>
          </cell>
          <cell r="U100">
            <v>565</v>
          </cell>
          <cell r="V100">
            <v>1</v>
          </cell>
          <cell r="W100">
            <v>745</v>
          </cell>
          <cell r="X100">
            <v>721</v>
          </cell>
          <cell r="Y100">
            <v>537</v>
          </cell>
          <cell r="Z100">
            <v>295</v>
          </cell>
          <cell r="AA100">
            <v>419</v>
          </cell>
          <cell r="AB100">
            <v>707</v>
          </cell>
          <cell r="AC100">
            <v>1</v>
          </cell>
          <cell r="AD100">
            <v>537</v>
          </cell>
          <cell r="AE100">
            <v>331</v>
          </cell>
          <cell r="AF100">
            <v>681</v>
          </cell>
          <cell r="AG100">
            <v>363</v>
          </cell>
          <cell r="AH100">
            <v>763</v>
          </cell>
          <cell r="AI100">
            <v>185</v>
          </cell>
          <cell r="AJ100">
            <v>161</v>
          </cell>
          <cell r="AK100">
            <v>11</v>
          </cell>
          <cell r="AL100">
            <v>93</v>
          </cell>
          <cell r="AM100">
            <v>805</v>
          </cell>
        </row>
        <row r="101">
          <cell r="K101">
            <v>11</v>
          </cell>
          <cell r="L101">
            <v>331</v>
          </cell>
          <cell r="M101">
            <v>419</v>
          </cell>
          <cell r="N101">
            <v>813</v>
          </cell>
          <cell r="O101">
            <v>565</v>
          </cell>
          <cell r="P101">
            <v>93</v>
          </cell>
          <cell r="Q101">
            <v>363</v>
          </cell>
          <cell r="R101">
            <v>263</v>
          </cell>
          <cell r="S101">
            <v>185</v>
          </cell>
          <cell r="T101">
            <v>483</v>
          </cell>
          <cell r="U101">
            <v>161</v>
          </cell>
          <cell r="V101">
            <v>419</v>
          </cell>
          <cell r="W101">
            <v>295</v>
          </cell>
          <cell r="X101">
            <v>363</v>
          </cell>
          <cell r="Y101">
            <v>185</v>
          </cell>
          <cell r="Z101">
            <v>11</v>
          </cell>
          <cell r="AA101">
            <v>71</v>
          </cell>
          <cell r="AB101">
            <v>419</v>
          </cell>
          <cell r="AC101">
            <v>419</v>
          </cell>
          <cell r="AD101">
            <v>43</v>
          </cell>
          <cell r="AE101">
            <v>317</v>
          </cell>
          <cell r="AF101">
            <v>227</v>
          </cell>
          <cell r="AG101">
            <v>11</v>
          </cell>
          <cell r="AH101">
            <v>295</v>
          </cell>
          <cell r="AI101">
            <v>71</v>
          </cell>
          <cell r="AJ101">
            <v>93</v>
          </cell>
          <cell r="AK101">
            <v>363</v>
          </cell>
          <cell r="AL101">
            <v>295</v>
          </cell>
          <cell r="AM101">
            <v>565</v>
          </cell>
        </row>
        <row r="102">
          <cell r="K102">
            <v>617</v>
          </cell>
          <cell r="L102">
            <v>611</v>
          </cell>
          <cell r="M102">
            <v>363</v>
          </cell>
          <cell r="N102">
            <v>565</v>
          </cell>
          <cell r="O102">
            <v>813</v>
          </cell>
          <cell r="P102">
            <v>707</v>
          </cell>
          <cell r="Q102">
            <v>753</v>
          </cell>
          <cell r="R102">
            <v>295</v>
          </cell>
          <cell r="S102">
            <v>763</v>
          </cell>
          <cell r="T102">
            <v>11</v>
          </cell>
          <cell r="U102">
            <v>419</v>
          </cell>
          <cell r="V102">
            <v>363</v>
          </cell>
          <cell r="W102">
            <v>799</v>
          </cell>
          <cell r="X102">
            <v>811</v>
          </cell>
          <cell r="Y102">
            <v>763</v>
          </cell>
          <cell r="Z102">
            <v>471</v>
          </cell>
          <cell r="AA102">
            <v>665</v>
          </cell>
          <cell r="AB102">
            <v>511</v>
          </cell>
          <cell r="AC102">
            <v>363</v>
          </cell>
          <cell r="AD102">
            <v>593</v>
          </cell>
          <cell r="AE102">
            <v>93</v>
          </cell>
          <cell r="AF102">
            <v>797</v>
          </cell>
          <cell r="AG102">
            <v>617</v>
          </cell>
          <cell r="AH102">
            <v>785</v>
          </cell>
          <cell r="AI102">
            <v>363</v>
          </cell>
          <cell r="AJ102">
            <v>483</v>
          </cell>
          <cell r="AK102">
            <v>263</v>
          </cell>
          <cell r="AL102">
            <v>185</v>
          </cell>
          <cell r="AM102">
            <v>753</v>
          </cell>
        </row>
        <row r="103">
          <cell r="K103">
            <v>43</v>
          </cell>
          <cell r="L103">
            <v>511</v>
          </cell>
          <cell r="M103">
            <v>511</v>
          </cell>
          <cell r="N103">
            <v>93</v>
          </cell>
          <cell r="O103">
            <v>707</v>
          </cell>
          <cell r="P103">
            <v>813</v>
          </cell>
          <cell r="Q103">
            <v>483</v>
          </cell>
          <cell r="R103">
            <v>455</v>
          </cell>
          <cell r="S103">
            <v>11</v>
          </cell>
          <cell r="T103">
            <v>665</v>
          </cell>
          <cell r="U103">
            <v>419</v>
          </cell>
          <cell r="V103">
            <v>511</v>
          </cell>
          <cell r="W103">
            <v>185</v>
          </cell>
          <cell r="X103">
            <v>153</v>
          </cell>
          <cell r="Y103">
            <v>11</v>
          </cell>
          <cell r="Z103">
            <v>153</v>
          </cell>
          <cell r="AA103">
            <v>11</v>
          </cell>
          <cell r="AB103">
            <v>611</v>
          </cell>
          <cell r="AC103">
            <v>511</v>
          </cell>
          <cell r="AD103">
            <v>161</v>
          </cell>
          <cell r="AE103">
            <v>565</v>
          </cell>
          <cell r="AF103">
            <v>71</v>
          </cell>
          <cell r="AG103">
            <v>43</v>
          </cell>
          <cell r="AH103">
            <v>317</v>
          </cell>
          <cell r="AI103">
            <v>227</v>
          </cell>
          <cell r="AJ103">
            <v>185</v>
          </cell>
          <cell r="AK103">
            <v>537</v>
          </cell>
          <cell r="AL103">
            <v>483</v>
          </cell>
          <cell r="AM103">
            <v>659</v>
          </cell>
        </row>
        <row r="104">
          <cell r="K104">
            <v>471</v>
          </cell>
          <cell r="L104">
            <v>93</v>
          </cell>
          <cell r="M104">
            <v>789</v>
          </cell>
          <cell r="N104">
            <v>363</v>
          </cell>
          <cell r="O104">
            <v>753</v>
          </cell>
          <cell r="P104">
            <v>483</v>
          </cell>
          <cell r="Q104">
            <v>813</v>
          </cell>
          <cell r="R104">
            <v>721</v>
          </cell>
          <cell r="S104">
            <v>593</v>
          </cell>
          <cell r="T104">
            <v>745</v>
          </cell>
          <cell r="U104">
            <v>263</v>
          </cell>
          <cell r="V104">
            <v>789</v>
          </cell>
          <cell r="W104">
            <v>263</v>
          </cell>
          <cell r="X104">
            <v>617</v>
          </cell>
          <cell r="Y104">
            <v>593</v>
          </cell>
          <cell r="Z104">
            <v>483</v>
          </cell>
          <cell r="AA104">
            <v>565</v>
          </cell>
          <cell r="AB104">
            <v>227</v>
          </cell>
          <cell r="AC104">
            <v>789</v>
          </cell>
          <cell r="AD104">
            <v>227</v>
          </cell>
          <cell r="AE104">
            <v>611</v>
          </cell>
          <cell r="AF104">
            <v>419</v>
          </cell>
          <cell r="AG104">
            <v>471</v>
          </cell>
          <cell r="AH104">
            <v>71</v>
          </cell>
          <cell r="AI104">
            <v>593</v>
          </cell>
          <cell r="AJ104">
            <v>639</v>
          </cell>
          <cell r="AK104">
            <v>785</v>
          </cell>
          <cell r="AL104">
            <v>701</v>
          </cell>
          <cell r="AM104">
            <v>71</v>
          </cell>
        </row>
        <row r="105">
          <cell r="K105">
            <v>295</v>
          </cell>
          <cell r="L105">
            <v>639</v>
          </cell>
          <cell r="M105">
            <v>43</v>
          </cell>
          <cell r="N105">
            <v>263</v>
          </cell>
          <cell r="O105">
            <v>295</v>
          </cell>
          <cell r="P105">
            <v>455</v>
          </cell>
          <cell r="Q105">
            <v>721</v>
          </cell>
          <cell r="R105">
            <v>813</v>
          </cell>
          <cell r="S105">
            <v>483</v>
          </cell>
          <cell r="T105">
            <v>185</v>
          </cell>
          <cell r="U105">
            <v>363</v>
          </cell>
          <cell r="V105">
            <v>43</v>
          </cell>
          <cell r="W105">
            <v>681</v>
          </cell>
          <cell r="X105">
            <v>681</v>
          </cell>
          <cell r="Y105">
            <v>483</v>
          </cell>
          <cell r="Z105">
            <v>161</v>
          </cell>
          <cell r="AA105">
            <v>331</v>
          </cell>
          <cell r="AB105">
            <v>617</v>
          </cell>
          <cell r="AC105">
            <v>43</v>
          </cell>
          <cell r="AD105">
            <v>419</v>
          </cell>
          <cell r="AE105">
            <v>185</v>
          </cell>
          <cell r="AF105">
            <v>651</v>
          </cell>
          <cell r="AG105">
            <v>295</v>
          </cell>
          <cell r="AH105">
            <v>681</v>
          </cell>
          <cell r="AI105">
            <v>71</v>
          </cell>
          <cell r="AJ105">
            <v>93</v>
          </cell>
          <cell r="AK105">
            <v>11</v>
          </cell>
          <cell r="AL105">
            <v>11</v>
          </cell>
          <cell r="AM105">
            <v>781</v>
          </cell>
        </row>
        <row r="106">
          <cell r="K106">
            <v>93</v>
          </cell>
          <cell r="L106">
            <v>617</v>
          </cell>
          <cell r="M106">
            <v>537</v>
          </cell>
          <cell r="N106">
            <v>185</v>
          </cell>
          <cell r="O106">
            <v>763</v>
          </cell>
          <cell r="P106">
            <v>11</v>
          </cell>
          <cell r="Q106">
            <v>593</v>
          </cell>
          <cell r="R106">
            <v>483</v>
          </cell>
          <cell r="S106">
            <v>813</v>
          </cell>
          <cell r="T106">
            <v>707</v>
          </cell>
          <cell r="U106">
            <v>511</v>
          </cell>
          <cell r="V106">
            <v>537</v>
          </cell>
          <cell r="W106">
            <v>227</v>
          </cell>
          <cell r="X106">
            <v>93</v>
          </cell>
          <cell r="Y106">
            <v>1</v>
          </cell>
          <cell r="Z106">
            <v>227</v>
          </cell>
          <cell r="AA106">
            <v>43</v>
          </cell>
          <cell r="AB106">
            <v>675</v>
          </cell>
          <cell r="AC106">
            <v>537</v>
          </cell>
          <cell r="AD106">
            <v>263</v>
          </cell>
          <cell r="AE106">
            <v>639</v>
          </cell>
          <cell r="AF106">
            <v>93</v>
          </cell>
          <cell r="AG106">
            <v>93</v>
          </cell>
          <cell r="AH106">
            <v>363</v>
          </cell>
          <cell r="AI106">
            <v>317</v>
          </cell>
          <cell r="AJ106">
            <v>227</v>
          </cell>
          <cell r="AK106">
            <v>593</v>
          </cell>
          <cell r="AL106">
            <v>565</v>
          </cell>
          <cell r="AM106">
            <v>721</v>
          </cell>
        </row>
        <row r="107">
          <cell r="K107">
            <v>565</v>
          </cell>
          <cell r="L107">
            <v>617</v>
          </cell>
          <cell r="M107">
            <v>263</v>
          </cell>
          <cell r="N107">
            <v>483</v>
          </cell>
          <cell r="O107">
            <v>11</v>
          </cell>
          <cell r="P107">
            <v>665</v>
          </cell>
          <cell r="Q107">
            <v>745</v>
          </cell>
          <cell r="R107">
            <v>185</v>
          </cell>
          <cell r="S107">
            <v>707</v>
          </cell>
          <cell r="T107">
            <v>813</v>
          </cell>
          <cell r="U107">
            <v>363</v>
          </cell>
          <cell r="V107">
            <v>263</v>
          </cell>
          <cell r="W107">
            <v>789</v>
          </cell>
          <cell r="X107">
            <v>803</v>
          </cell>
          <cell r="Y107">
            <v>707</v>
          </cell>
          <cell r="Z107">
            <v>363</v>
          </cell>
          <cell r="AA107">
            <v>617</v>
          </cell>
          <cell r="AB107">
            <v>537</v>
          </cell>
          <cell r="AC107">
            <v>263</v>
          </cell>
          <cell r="AD107">
            <v>537</v>
          </cell>
          <cell r="AE107">
            <v>71</v>
          </cell>
          <cell r="AF107">
            <v>781</v>
          </cell>
          <cell r="AG107">
            <v>565</v>
          </cell>
          <cell r="AH107">
            <v>763</v>
          </cell>
          <cell r="AI107">
            <v>317</v>
          </cell>
          <cell r="AJ107">
            <v>363</v>
          </cell>
          <cell r="AK107">
            <v>161</v>
          </cell>
          <cell r="AL107">
            <v>93</v>
          </cell>
          <cell r="AM107">
            <v>763</v>
          </cell>
        </row>
        <row r="108">
          <cell r="K108">
            <v>263</v>
          </cell>
          <cell r="L108">
            <v>93</v>
          </cell>
          <cell r="M108">
            <v>565</v>
          </cell>
          <cell r="N108">
            <v>161</v>
          </cell>
          <cell r="O108">
            <v>419</v>
          </cell>
          <cell r="P108">
            <v>419</v>
          </cell>
          <cell r="Q108">
            <v>263</v>
          </cell>
          <cell r="R108">
            <v>363</v>
          </cell>
          <cell r="S108">
            <v>511</v>
          </cell>
          <cell r="T108">
            <v>363</v>
          </cell>
          <cell r="U108">
            <v>813</v>
          </cell>
          <cell r="V108">
            <v>565</v>
          </cell>
          <cell r="W108">
            <v>471</v>
          </cell>
          <cell r="X108">
            <v>659</v>
          </cell>
          <cell r="Y108">
            <v>511</v>
          </cell>
          <cell r="Z108">
            <v>185</v>
          </cell>
          <cell r="AA108">
            <v>363</v>
          </cell>
          <cell r="AB108">
            <v>93</v>
          </cell>
          <cell r="AC108">
            <v>565</v>
          </cell>
          <cell r="AD108">
            <v>93</v>
          </cell>
          <cell r="AE108">
            <v>161</v>
          </cell>
          <cell r="AF108">
            <v>483</v>
          </cell>
          <cell r="AG108">
            <v>263</v>
          </cell>
          <cell r="AH108">
            <v>331</v>
          </cell>
          <cell r="AI108">
            <v>227</v>
          </cell>
          <cell r="AJ108">
            <v>331</v>
          </cell>
          <cell r="AK108">
            <v>483</v>
          </cell>
          <cell r="AL108">
            <v>331</v>
          </cell>
          <cell r="AM108">
            <v>331</v>
          </cell>
        </row>
        <row r="109">
          <cell r="K109">
            <v>363</v>
          </cell>
          <cell r="L109">
            <v>733</v>
          </cell>
          <cell r="M109">
            <v>1</v>
          </cell>
          <cell r="N109">
            <v>419</v>
          </cell>
          <cell r="O109">
            <v>363</v>
          </cell>
          <cell r="P109">
            <v>511</v>
          </cell>
          <cell r="Q109">
            <v>789</v>
          </cell>
          <cell r="R109">
            <v>43</v>
          </cell>
          <cell r="S109">
            <v>537</v>
          </cell>
          <cell r="T109">
            <v>263</v>
          </cell>
          <cell r="U109">
            <v>565</v>
          </cell>
          <cell r="V109">
            <v>813</v>
          </cell>
          <cell r="W109">
            <v>745</v>
          </cell>
          <cell r="X109">
            <v>721</v>
          </cell>
          <cell r="Y109">
            <v>537</v>
          </cell>
          <cell r="Z109">
            <v>295</v>
          </cell>
          <cell r="AA109">
            <v>419</v>
          </cell>
          <cell r="AB109">
            <v>707</v>
          </cell>
          <cell r="AC109">
            <v>1</v>
          </cell>
          <cell r="AD109">
            <v>537</v>
          </cell>
          <cell r="AE109">
            <v>331</v>
          </cell>
          <cell r="AF109">
            <v>681</v>
          </cell>
          <cell r="AG109">
            <v>363</v>
          </cell>
          <cell r="AH109">
            <v>763</v>
          </cell>
          <cell r="AI109">
            <v>185</v>
          </cell>
          <cell r="AJ109">
            <v>161</v>
          </cell>
          <cell r="AK109">
            <v>11</v>
          </cell>
          <cell r="AL109">
            <v>93</v>
          </cell>
          <cell r="AM109">
            <v>805</v>
          </cell>
        </row>
        <row r="110">
          <cell r="K110">
            <v>263</v>
          </cell>
          <cell r="L110">
            <v>455</v>
          </cell>
          <cell r="M110">
            <v>745</v>
          </cell>
          <cell r="N110">
            <v>295</v>
          </cell>
          <cell r="O110">
            <v>799</v>
          </cell>
          <cell r="P110">
            <v>185</v>
          </cell>
          <cell r="Q110">
            <v>263</v>
          </cell>
          <cell r="R110">
            <v>681</v>
          </cell>
          <cell r="S110">
            <v>227</v>
          </cell>
          <cell r="T110">
            <v>789</v>
          </cell>
          <cell r="U110">
            <v>471</v>
          </cell>
          <cell r="V110">
            <v>745</v>
          </cell>
          <cell r="W110">
            <v>813</v>
          </cell>
          <cell r="X110">
            <v>185</v>
          </cell>
          <cell r="Y110">
            <v>227</v>
          </cell>
          <cell r="Z110">
            <v>419</v>
          </cell>
          <cell r="AA110">
            <v>295</v>
          </cell>
          <cell r="AB110">
            <v>593</v>
          </cell>
          <cell r="AC110">
            <v>745</v>
          </cell>
          <cell r="AD110">
            <v>227</v>
          </cell>
          <cell r="AE110">
            <v>681</v>
          </cell>
          <cell r="AF110">
            <v>43</v>
          </cell>
          <cell r="AG110">
            <v>263</v>
          </cell>
          <cell r="AH110">
            <v>71</v>
          </cell>
          <cell r="AI110">
            <v>511</v>
          </cell>
          <cell r="AJ110">
            <v>507</v>
          </cell>
          <cell r="AK110">
            <v>753</v>
          </cell>
          <cell r="AL110">
            <v>701</v>
          </cell>
          <cell r="AM110">
            <v>507</v>
          </cell>
        </row>
        <row r="111">
          <cell r="K111">
            <v>317</v>
          </cell>
          <cell r="L111">
            <v>681</v>
          </cell>
          <cell r="M111">
            <v>721</v>
          </cell>
          <cell r="N111">
            <v>363</v>
          </cell>
          <cell r="O111">
            <v>811</v>
          </cell>
          <cell r="P111">
            <v>153</v>
          </cell>
          <cell r="Q111">
            <v>617</v>
          </cell>
          <cell r="R111">
            <v>681</v>
          </cell>
          <cell r="S111">
            <v>93</v>
          </cell>
          <cell r="T111">
            <v>803</v>
          </cell>
          <cell r="U111">
            <v>659</v>
          </cell>
          <cell r="V111">
            <v>721</v>
          </cell>
          <cell r="W111">
            <v>185</v>
          </cell>
          <cell r="X111">
            <v>813</v>
          </cell>
          <cell r="Y111">
            <v>93</v>
          </cell>
          <cell r="Z111">
            <v>471</v>
          </cell>
          <cell r="AA111">
            <v>227</v>
          </cell>
          <cell r="AB111">
            <v>763</v>
          </cell>
          <cell r="AC111">
            <v>721</v>
          </cell>
          <cell r="AD111">
            <v>455</v>
          </cell>
          <cell r="AE111">
            <v>763</v>
          </cell>
          <cell r="AF111">
            <v>71</v>
          </cell>
          <cell r="AG111">
            <v>317</v>
          </cell>
          <cell r="AH111">
            <v>419</v>
          </cell>
          <cell r="AI111">
            <v>565</v>
          </cell>
          <cell r="AJ111">
            <v>483</v>
          </cell>
          <cell r="AK111">
            <v>741</v>
          </cell>
          <cell r="AL111">
            <v>733</v>
          </cell>
          <cell r="AM111">
            <v>753</v>
          </cell>
        </row>
        <row r="112">
          <cell r="K112">
            <v>93</v>
          </cell>
          <cell r="L112">
            <v>617</v>
          </cell>
          <cell r="M112">
            <v>537</v>
          </cell>
          <cell r="N112">
            <v>185</v>
          </cell>
          <cell r="O112">
            <v>763</v>
          </cell>
          <cell r="P112">
            <v>11</v>
          </cell>
          <cell r="Q112">
            <v>593</v>
          </cell>
          <cell r="R112">
            <v>483</v>
          </cell>
          <cell r="S112">
            <v>1</v>
          </cell>
          <cell r="T112">
            <v>707</v>
          </cell>
          <cell r="U112">
            <v>511</v>
          </cell>
          <cell r="V112">
            <v>537</v>
          </cell>
          <cell r="W112">
            <v>227</v>
          </cell>
          <cell r="X112">
            <v>93</v>
          </cell>
          <cell r="Y112">
            <v>813</v>
          </cell>
          <cell r="Z112">
            <v>227</v>
          </cell>
          <cell r="AA112">
            <v>43</v>
          </cell>
          <cell r="AB112">
            <v>675</v>
          </cell>
          <cell r="AC112">
            <v>537</v>
          </cell>
          <cell r="AD112">
            <v>263</v>
          </cell>
          <cell r="AE112">
            <v>639</v>
          </cell>
          <cell r="AF112">
            <v>93</v>
          </cell>
          <cell r="AG112">
            <v>93</v>
          </cell>
          <cell r="AH112">
            <v>363</v>
          </cell>
          <cell r="AI112">
            <v>317</v>
          </cell>
          <cell r="AJ112">
            <v>227</v>
          </cell>
          <cell r="AK112">
            <v>593</v>
          </cell>
          <cell r="AL112">
            <v>565</v>
          </cell>
          <cell r="AM112">
            <v>721</v>
          </cell>
        </row>
        <row r="113">
          <cell r="K113">
            <v>43</v>
          </cell>
          <cell r="L113">
            <v>363</v>
          </cell>
          <cell r="M113">
            <v>295</v>
          </cell>
          <cell r="N113">
            <v>11</v>
          </cell>
          <cell r="O113">
            <v>471</v>
          </cell>
          <cell r="P113">
            <v>153</v>
          </cell>
          <cell r="Q113">
            <v>483</v>
          </cell>
          <cell r="R113">
            <v>161</v>
          </cell>
          <cell r="S113">
            <v>227</v>
          </cell>
          <cell r="T113">
            <v>363</v>
          </cell>
          <cell r="U113">
            <v>185</v>
          </cell>
          <cell r="V113">
            <v>295</v>
          </cell>
          <cell r="W113">
            <v>419</v>
          </cell>
          <cell r="X113">
            <v>471</v>
          </cell>
          <cell r="Y113">
            <v>227</v>
          </cell>
          <cell r="Z113">
            <v>813</v>
          </cell>
          <cell r="AA113">
            <v>93</v>
          </cell>
          <cell r="AB113">
            <v>455</v>
          </cell>
          <cell r="AC113">
            <v>295</v>
          </cell>
          <cell r="AD113">
            <v>93</v>
          </cell>
          <cell r="AE113">
            <v>227</v>
          </cell>
          <cell r="AF113">
            <v>331</v>
          </cell>
          <cell r="AG113">
            <v>43</v>
          </cell>
          <cell r="AH113">
            <v>419</v>
          </cell>
          <cell r="AI113">
            <v>11</v>
          </cell>
          <cell r="AJ113">
            <v>43</v>
          </cell>
          <cell r="AK113">
            <v>263</v>
          </cell>
          <cell r="AL113">
            <v>185</v>
          </cell>
          <cell r="AM113">
            <v>617</v>
          </cell>
        </row>
        <row r="114">
          <cell r="K114">
            <v>11</v>
          </cell>
          <cell r="L114">
            <v>537</v>
          </cell>
          <cell r="M114">
            <v>419</v>
          </cell>
          <cell r="N114">
            <v>71</v>
          </cell>
          <cell r="O114">
            <v>665</v>
          </cell>
          <cell r="P114">
            <v>11</v>
          </cell>
          <cell r="Q114">
            <v>565</v>
          </cell>
          <cell r="R114">
            <v>331</v>
          </cell>
          <cell r="S114">
            <v>43</v>
          </cell>
          <cell r="T114">
            <v>617</v>
          </cell>
          <cell r="U114">
            <v>363</v>
          </cell>
          <cell r="V114">
            <v>419</v>
          </cell>
          <cell r="W114">
            <v>295</v>
          </cell>
          <cell r="X114">
            <v>227</v>
          </cell>
          <cell r="Y114">
            <v>43</v>
          </cell>
          <cell r="Z114">
            <v>93</v>
          </cell>
          <cell r="AA114">
            <v>813</v>
          </cell>
          <cell r="AB114">
            <v>617</v>
          </cell>
          <cell r="AC114">
            <v>419</v>
          </cell>
          <cell r="AD114">
            <v>185</v>
          </cell>
          <cell r="AE114">
            <v>483</v>
          </cell>
          <cell r="AF114">
            <v>161</v>
          </cell>
          <cell r="AG114">
            <v>11</v>
          </cell>
          <cell r="AH114">
            <v>363</v>
          </cell>
          <cell r="AI114">
            <v>153</v>
          </cell>
          <cell r="AJ114">
            <v>93</v>
          </cell>
          <cell r="AK114">
            <v>455</v>
          </cell>
          <cell r="AL114">
            <v>363</v>
          </cell>
          <cell r="AM114">
            <v>681</v>
          </cell>
        </row>
        <row r="115">
          <cell r="K115">
            <v>511</v>
          </cell>
          <cell r="L115">
            <v>43</v>
          </cell>
          <cell r="M115">
            <v>707</v>
          </cell>
          <cell r="N115">
            <v>419</v>
          </cell>
          <cell r="O115">
            <v>511</v>
          </cell>
          <cell r="P115">
            <v>611</v>
          </cell>
          <cell r="Q115">
            <v>227</v>
          </cell>
          <cell r="R115">
            <v>617</v>
          </cell>
          <cell r="S115">
            <v>675</v>
          </cell>
          <cell r="T115">
            <v>537</v>
          </cell>
          <cell r="U115">
            <v>93</v>
          </cell>
          <cell r="V115">
            <v>707</v>
          </cell>
          <cell r="W115">
            <v>593</v>
          </cell>
          <cell r="X115">
            <v>763</v>
          </cell>
          <cell r="Y115">
            <v>675</v>
          </cell>
          <cell r="Z115">
            <v>455</v>
          </cell>
          <cell r="AA115">
            <v>617</v>
          </cell>
          <cell r="AB115">
            <v>813</v>
          </cell>
          <cell r="AC115">
            <v>707</v>
          </cell>
          <cell r="AD115">
            <v>263</v>
          </cell>
          <cell r="AE115">
            <v>331</v>
          </cell>
          <cell r="AF115">
            <v>651</v>
          </cell>
          <cell r="AG115">
            <v>511</v>
          </cell>
          <cell r="AH115">
            <v>363</v>
          </cell>
          <cell r="AI115">
            <v>483</v>
          </cell>
          <cell r="AJ115">
            <v>593</v>
          </cell>
          <cell r="AK115">
            <v>665</v>
          </cell>
          <cell r="AL115">
            <v>565</v>
          </cell>
          <cell r="AM115">
            <v>161</v>
          </cell>
        </row>
        <row r="116">
          <cell r="K116">
            <v>363</v>
          </cell>
          <cell r="L116">
            <v>733</v>
          </cell>
          <cell r="M116">
            <v>1</v>
          </cell>
          <cell r="N116">
            <v>419</v>
          </cell>
          <cell r="O116">
            <v>363</v>
          </cell>
          <cell r="P116">
            <v>511</v>
          </cell>
          <cell r="Q116">
            <v>789</v>
          </cell>
          <cell r="R116">
            <v>43</v>
          </cell>
          <cell r="S116">
            <v>537</v>
          </cell>
          <cell r="T116">
            <v>263</v>
          </cell>
          <cell r="U116">
            <v>565</v>
          </cell>
          <cell r="V116">
            <v>1</v>
          </cell>
          <cell r="W116">
            <v>745</v>
          </cell>
          <cell r="X116">
            <v>721</v>
          </cell>
          <cell r="Y116">
            <v>537</v>
          </cell>
          <cell r="Z116">
            <v>295</v>
          </cell>
          <cell r="AA116">
            <v>419</v>
          </cell>
          <cell r="AB116">
            <v>707</v>
          </cell>
          <cell r="AC116">
            <v>813</v>
          </cell>
          <cell r="AD116">
            <v>537</v>
          </cell>
          <cell r="AE116">
            <v>331</v>
          </cell>
          <cell r="AF116">
            <v>681</v>
          </cell>
          <cell r="AG116">
            <v>363</v>
          </cell>
          <cell r="AH116">
            <v>763</v>
          </cell>
          <cell r="AI116">
            <v>185</v>
          </cell>
          <cell r="AJ116">
            <v>161</v>
          </cell>
          <cell r="AK116">
            <v>11</v>
          </cell>
          <cell r="AL116">
            <v>93</v>
          </cell>
          <cell r="AM116">
            <v>805</v>
          </cell>
        </row>
        <row r="117">
          <cell r="K117">
            <v>93</v>
          </cell>
          <cell r="L117">
            <v>185</v>
          </cell>
          <cell r="M117">
            <v>537</v>
          </cell>
          <cell r="N117">
            <v>43</v>
          </cell>
          <cell r="O117">
            <v>593</v>
          </cell>
          <cell r="P117">
            <v>161</v>
          </cell>
          <cell r="Q117">
            <v>227</v>
          </cell>
          <cell r="R117">
            <v>419</v>
          </cell>
          <cell r="S117">
            <v>263</v>
          </cell>
          <cell r="T117">
            <v>537</v>
          </cell>
          <cell r="U117">
            <v>93</v>
          </cell>
          <cell r="V117">
            <v>537</v>
          </cell>
          <cell r="W117">
            <v>227</v>
          </cell>
          <cell r="X117">
            <v>455</v>
          </cell>
          <cell r="Y117">
            <v>263</v>
          </cell>
          <cell r="Z117">
            <v>93</v>
          </cell>
          <cell r="AA117">
            <v>185</v>
          </cell>
          <cell r="AB117">
            <v>263</v>
          </cell>
          <cell r="AC117">
            <v>537</v>
          </cell>
          <cell r="AD117">
            <v>813</v>
          </cell>
          <cell r="AE117">
            <v>331</v>
          </cell>
          <cell r="AF117">
            <v>227</v>
          </cell>
          <cell r="AG117">
            <v>93</v>
          </cell>
          <cell r="AH117">
            <v>161</v>
          </cell>
          <cell r="AI117">
            <v>185</v>
          </cell>
          <cell r="AJ117">
            <v>227</v>
          </cell>
          <cell r="AK117">
            <v>511</v>
          </cell>
          <cell r="AL117">
            <v>363</v>
          </cell>
          <cell r="AM117">
            <v>363</v>
          </cell>
        </row>
        <row r="118">
          <cell r="K118">
            <v>363</v>
          </cell>
          <cell r="L118">
            <v>419</v>
          </cell>
          <cell r="M118">
            <v>331</v>
          </cell>
          <cell r="N118">
            <v>317</v>
          </cell>
          <cell r="O118">
            <v>93</v>
          </cell>
          <cell r="P118">
            <v>565</v>
          </cell>
          <cell r="Q118">
            <v>611</v>
          </cell>
          <cell r="R118">
            <v>185</v>
          </cell>
          <cell r="S118">
            <v>639</v>
          </cell>
          <cell r="T118">
            <v>71</v>
          </cell>
          <cell r="U118">
            <v>161</v>
          </cell>
          <cell r="V118">
            <v>331</v>
          </cell>
          <cell r="W118">
            <v>681</v>
          </cell>
          <cell r="X118">
            <v>763</v>
          </cell>
          <cell r="Y118">
            <v>639</v>
          </cell>
          <cell r="Z118">
            <v>227</v>
          </cell>
          <cell r="AA118">
            <v>483</v>
          </cell>
          <cell r="AB118">
            <v>331</v>
          </cell>
          <cell r="AC118">
            <v>331</v>
          </cell>
          <cell r="AD118">
            <v>331</v>
          </cell>
          <cell r="AE118">
            <v>813</v>
          </cell>
          <cell r="AF118">
            <v>665</v>
          </cell>
          <cell r="AG118">
            <v>363</v>
          </cell>
          <cell r="AH118">
            <v>651</v>
          </cell>
          <cell r="AI118">
            <v>185</v>
          </cell>
          <cell r="AJ118">
            <v>295</v>
          </cell>
          <cell r="AK118">
            <v>227</v>
          </cell>
          <cell r="AL118">
            <v>93</v>
          </cell>
          <cell r="AM118">
            <v>651</v>
          </cell>
        </row>
        <row r="119">
          <cell r="K119">
            <v>185</v>
          </cell>
          <cell r="L119">
            <v>511</v>
          </cell>
          <cell r="M119">
            <v>681</v>
          </cell>
          <cell r="N119">
            <v>227</v>
          </cell>
          <cell r="O119">
            <v>797</v>
          </cell>
          <cell r="P119">
            <v>71</v>
          </cell>
          <cell r="Q119">
            <v>419</v>
          </cell>
          <cell r="R119">
            <v>651</v>
          </cell>
          <cell r="S119">
            <v>93</v>
          </cell>
          <cell r="T119">
            <v>781</v>
          </cell>
          <cell r="U119">
            <v>483</v>
          </cell>
          <cell r="V119">
            <v>681</v>
          </cell>
          <cell r="W119">
            <v>43</v>
          </cell>
          <cell r="X119">
            <v>71</v>
          </cell>
          <cell r="Y119">
            <v>93</v>
          </cell>
          <cell r="Z119">
            <v>331</v>
          </cell>
          <cell r="AA119">
            <v>161</v>
          </cell>
          <cell r="AB119">
            <v>651</v>
          </cell>
          <cell r="AC119">
            <v>681</v>
          </cell>
          <cell r="AD119">
            <v>227</v>
          </cell>
          <cell r="AE119">
            <v>665</v>
          </cell>
          <cell r="AF119">
            <v>813</v>
          </cell>
          <cell r="AG119">
            <v>185</v>
          </cell>
          <cell r="AH119">
            <v>185</v>
          </cell>
          <cell r="AI119">
            <v>455</v>
          </cell>
          <cell r="AJ119">
            <v>419</v>
          </cell>
          <cell r="AK119">
            <v>701</v>
          </cell>
          <cell r="AL119">
            <v>659</v>
          </cell>
          <cell r="AM119">
            <v>617</v>
          </cell>
        </row>
        <row r="120">
          <cell r="K120">
            <v>1</v>
          </cell>
          <cell r="L120">
            <v>455</v>
          </cell>
          <cell r="M120">
            <v>363</v>
          </cell>
          <cell r="N120">
            <v>11</v>
          </cell>
          <cell r="O120">
            <v>617</v>
          </cell>
          <cell r="P120">
            <v>43</v>
          </cell>
          <cell r="Q120">
            <v>471</v>
          </cell>
          <cell r="R120">
            <v>295</v>
          </cell>
          <cell r="S120">
            <v>93</v>
          </cell>
          <cell r="T120">
            <v>565</v>
          </cell>
          <cell r="U120">
            <v>263</v>
          </cell>
          <cell r="V120">
            <v>363</v>
          </cell>
          <cell r="W120">
            <v>263</v>
          </cell>
          <cell r="X120">
            <v>317</v>
          </cell>
          <cell r="Y120">
            <v>93</v>
          </cell>
          <cell r="Z120">
            <v>43</v>
          </cell>
          <cell r="AA120">
            <v>11</v>
          </cell>
          <cell r="AB120">
            <v>511</v>
          </cell>
          <cell r="AC120">
            <v>363</v>
          </cell>
          <cell r="AD120">
            <v>93</v>
          </cell>
          <cell r="AE120">
            <v>363</v>
          </cell>
          <cell r="AF120">
            <v>185</v>
          </cell>
          <cell r="AG120">
            <v>813</v>
          </cell>
          <cell r="AH120">
            <v>331</v>
          </cell>
          <cell r="AI120">
            <v>93</v>
          </cell>
          <cell r="AJ120">
            <v>71</v>
          </cell>
          <cell r="AK120">
            <v>419</v>
          </cell>
          <cell r="AL120">
            <v>331</v>
          </cell>
          <cell r="AM120">
            <v>639</v>
          </cell>
        </row>
        <row r="121">
          <cell r="K121">
            <v>331</v>
          </cell>
          <cell r="L121">
            <v>227</v>
          </cell>
          <cell r="M121">
            <v>763</v>
          </cell>
          <cell r="N121">
            <v>295</v>
          </cell>
          <cell r="O121">
            <v>785</v>
          </cell>
          <cell r="P121">
            <v>317</v>
          </cell>
          <cell r="Q121">
            <v>71</v>
          </cell>
          <cell r="R121">
            <v>681</v>
          </cell>
          <cell r="S121">
            <v>363</v>
          </cell>
          <cell r="T121">
            <v>763</v>
          </cell>
          <cell r="U121">
            <v>331</v>
          </cell>
          <cell r="V121">
            <v>763</v>
          </cell>
          <cell r="W121">
            <v>71</v>
          </cell>
          <cell r="X121">
            <v>419</v>
          </cell>
          <cell r="Y121">
            <v>363</v>
          </cell>
          <cell r="Z121">
            <v>419</v>
          </cell>
          <cell r="AA121">
            <v>363</v>
          </cell>
          <cell r="AB121">
            <v>363</v>
          </cell>
          <cell r="AC121">
            <v>763</v>
          </cell>
          <cell r="AD121">
            <v>161</v>
          </cell>
          <cell r="AE121">
            <v>651</v>
          </cell>
          <cell r="AF121">
            <v>185</v>
          </cell>
          <cell r="AG121">
            <v>331</v>
          </cell>
          <cell r="AH121">
            <v>813</v>
          </cell>
          <cell r="AI121">
            <v>511</v>
          </cell>
          <cell r="AJ121">
            <v>537</v>
          </cell>
          <cell r="AK121">
            <v>753</v>
          </cell>
          <cell r="AL121">
            <v>675</v>
          </cell>
          <cell r="AM121">
            <v>263</v>
          </cell>
        </row>
        <row r="122">
          <cell r="K122">
            <v>93</v>
          </cell>
          <cell r="L122">
            <v>471</v>
          </cell>
          <cell r="M122">
            <v>185</v>
          </cell>
          <cell r="N122">
            <v>71</v>
          </cell>
          <cell r="O122">
            <v>363</v>
          </cell>
          <cell r="P122">
            <v>227</v>
          </cell>
          <cell r="Q122">
            <v>593</v>
          </cell>
          <cell r="R122">
            <v>71</v>
          </cell>
          <cell r="S122">
            <v>317</v>
          </cell>
          <cell r="T122">
            <v>317</v>
          </cell>
          <cell r="U122">
            <v>227</v>
          </cell>
          <cell r="V122">
            <v>185</v>
          </cell>
          <cell r="W122">
            <v>511</v>
          </cell>
          <cell r="X122">
            <v>565</v>
          </cell>
          <cell r="Y122">
            <v>317</v>
          </cell>
          <cell r="Z122">
            <v>11</v>
          </cell>
          <cell r="AA122">
            <v>153</v>
          </cell>
          <cell r="AB122">
            <v>483</v>
          </cell>
          <cell r="AC122">
            <v>185</v>
          </cell>
          <cell r="AD122">
            <v>185</v>
          </cell>
          <cell r="AE122">
            <v>185</v>
          </cell>
          <cell r="AF122">
            <v>455</v>
          </cell>
          <cell r="AG122">
            <v>93</v>
          </cell>
          <cell r="AH122">
            <v>511</v>
          </cell>
          <cell r="AI122">
            <v>813</v>
          </cell>
          <cell r="AJ122">
            <v>11</v>
          </cell>
          <cell r="AK122">
            <v>161</v>
          </cell>
          <cell r="AL122">
            <v>93</v>
          </cell>
          <cell r="AM122">
            <v>665</v>
          </cell>
        </row>
        <row r="123">
          <cell r="K123">
            <v>71</v>
          </cell>
          <cell r="L123">
            <v>565</v>
          </cell>
          <cell r="M123">
            <v>161</v>
          </cell>
          <cell r="N123">
            <v>93</v>
          </cell>
          <cell r="O123">
            <v>483</v>
          </cell>
          <cell r="P123">
            <v>185</v>
          </cell>
          <cell r="Q123">
            <v>639</v>
          </cell>
          <cell r="R123">
            <v>93</v>
          </cell>
          <cell r="S123">
            <v>227</v>
          </cell>
          <cell r="T123">
            <v>363</v>
          </cell>
          <cell r="U123">
            <v>331</v>
          </cell>
          <cell r="V123">
            <v>161</v>
          </cell>
          <cell r="W123">
            <v>507</v>
          </cell>
          <cell r="X123">
            <v>483</v>
          </cell>
          <cell r="Y123">
            <v>227</v>
          </cell>
          <cell r="Z123">
            <v>43</v>
          </cell>
          <cell r="AA123">
            <v>93</v>
          </cell>
          <cell r="AB123">
            <v>593</v>
          </cell>
          <cell r="AC123">
            <v>161</v>
          </cell>
          <cell r="AD123">
            <v>227</v>
          </cell>
          <cell r="AE123">
            <v>295</v>
          </cell>
          <cell r="AF123">
            <v>419</v>
          </cell>
          <cell r="AG123">
            <v>71</v>
          </cell>
          <cell r="AH123">
            <v>537</v>
          </cell>
          <cell r="AI123">
            <v>11</v>
          </cell>
          <cell r="AJ123">
            <v>813</v>
          </cell>
          <cell r="AK123">
            <v>185</v>
          </cell>
          <cell r="AL123">
            <v>153</v>
          </cell>
          <cell r="AM123">
            <v>707</v>
          </cell>
        </row>
        <row r="124">
          <cell r="K124">
            <v>419</v>
          </cell>
          <cell r="L124">
            <v>681</v>
          </cell>
          <cell r="M124">
            <v>11</v>
          </cell>
          <cell r="N124">
            <v>363</v>
          </cell>
          <cell r="O124">
            <v>263</v>
          </cell>
          <cell r="P124">
            <v>537</v>
          </cell>
          <cell r="Q124">
            <v>785</v>
          </cell>
          <cell r="R124">
            <v>11</v>
          </cell>
          <cell r="S124">
            <v>593</v>
          </cell>
          <cell r="T124">
            <v>161</v>
          </cell>
          <cell r="U124">
            <v>483</v>
          </cell>
          <cell r="V124">
            <v>11</v>
          </cell>
          <cell r="W124">
            <v>753</v>
          </cell>
          <cell r="X124">
            <v>741</v>
          </cell>
          <cell r="Y124">
            <v>593</v>
          </cell>
          <cell r="Z124">
            <v>263</v>
          </cell>
          <cell r="AA124">
            <v>455</v>
          </cell>
          <cell r="AB124">
            <v>665</v>
          </cell>
          <cell r="AC124">
            <v>11</v>
          </cell>
          <cell r="AD124">
            <v>511</v>
          </cell>
          <cell r="AE124">
            <v>227</v>
          </cell>
          <cell r="AF124">
            <v>701</v>
          </cell>
          <cell r="AG124">
            <v>419</v>
          </cell>
          <cell r="AH124">
            <v>753</v>
          </cell>
          <cell r="AI124">
            <v>161</v>
          </cell>
          <cell r="AJ124">
            <v>185</v>
          </cell>
          <cell r="AK124">
            <v>813</v>
          </cell>
          <cell r="AL124">
            <v>43</v>
          </cell>
          <cell r="AM124">
            <v>799</v>
          </cell>
        </row>
        <row r="125">
          <cell r="K125">
            <v>331</v>
          </cell>
          <cell r="L125">
            <v>593</v>
          </cell>
          <cell r="M125">
            <v>93</v>
          </cell>
          <cell r="N125">
            <v>295</v>
          </cell>
          <cell r="O125">
            <v>185</v>
          </cell>
          <cell r="P125">
            <v>483</v>
          </cell>
          <cell r="Q125">
            <v>701</v>
          </cell>
          <cell r="R125">
            <v>11</v>
          </cell>
          <cell r="S125">
            <v>565</v>
          </cell>
          <cell r="T125">
            <v>93</v>
          </cell>
          <cell r="U125">
            <v>331</v>
          </cell>
          <cell r="V125">
            <v>93</v>
          </cell>
          <cell r="W125">
            <v>701</v>
          </cell>
          <cell r="X125">
            <v>733</v>
          </cell>
          <cell r="Y125">
            <v>565</v>
          </cell>
          <cell r="Z125">
            <v>185</v>
          </cell>
          <cell r="AA125">
            <v>363</v>
          </cell>
          <cell r="AB125">
            <v>565</v>
          </cell>
          <cell r="AC125">
            <v>93</v>
          </cell>
          <cell r="AD125">
            <v>363</v>
          </cell>
          <cell r="AE125">
            <v>93</v>
          </cell>
          <cell r="AF125">
            <v>659</v>
          </cell>
          <cell r="AG125">
            <v>331</v>
          </cell>
          <cell r="AH125">
            <v>675</v>
          </cell>
          <cell r="AI125">
            <v>93</v>
          </cell>
          <cell r="AJ125">
            <v>153</v>
          </cell>
          <cell r="AK125">
            <v>43</v>
          </cell>
          <cell r="AL125">
            <v>813</v>
          </cell>
          <cell r="AM125">
            <v>741</v>
          </cell>
        </row>
        <row r="126">
          <cell r="K126">
            <v>639</v>
          </cell>
          <cell r="L126">
            <v>93</v>
          </cell>
          <cell r="M126">
            <v>805</v>
          </cell>
          <cell r="N126">
            <v>565</v>
          </cell>
          <cell r="O126">
            <v>753</v>
          </cell>
          <cell r="P126">
            <v>659</v>
          </cell>
          <cell r="Q126">
            <v>71</v>
          </cell>
          <cell r="R126">
            <v>781</v>
          </cell>
          <cell r="S126">
            <v>721</v>
          </cell>
          <cell r="T126">
            <v>763</v>
          </cell>
          <cell r="U126">
            <v>331</v>
          </cell>
          <cell r="V126">
            <v>805</v>
          </cell>
          <cell r="W126">
            <v>507</v>
          </cell>
          <cell r="X126">
            <v>753</v>
          </cell>
          <cell r="Y126">
            <v>721</v>
          </cell>
          <cell r="Z126">
            <v>617</v>
          </cell>
          <cell r="AA126">
            <v>681</v>
          </cell>
          <cell r="AB126">
            <v>161</v>
          </cell>
          <cell r="AC126">
            <v>805</v>
          </cell>
          <cell r="AD126">
            <v>363</v>
          </cell>
          <cell r="AE126">
            <v>651</v>
          </cell>
          <cell r="AF126">
            <v>617</v>
          </cell>
          <cell r="AG126">
            <v>639</v>
          </cell>
          <cell r="AH126">
            <v>263</v>
          </cell>
          <cell r="AI126">
            <v>665</v>
          </cell>
          <cell r="AJ126">
            <v>707</v>
          </cell>
          <cell r="AK126">
            <v>799</v>
          </cell>
          <cell r="AL126">
            <v>741</v>
          </cell>
          <cell r="AM126">
            <v>813</v>
          </cell>
        </row>
      </sheetData>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DS"/>
      <sheetName val="Ideal Point"/>
      <sheetName val="Sheet2"/>
      <sheetName val="Sheet3"/>
    </sheetNames>
    <sheetDataSet>
      <sheetData sheetId="0">
        <row r="5">
          <cell r="C5">
            <v>6.7089097436552274</v>
          </cell>
          <cell r="D5">
            <v>9.7654588150414803</v>
          </cell>
          <cell r="G5">
            <v>0</v>
          </cell>
          <cell r="H5">
            <v>2</v>
          </cell>
          <cell r="I5">
            <v>45</v>
          </cell>
          <cell r="J5">
            <v>30</v>
          </cell>
          <cell r="K5">
            <v>16</v>
          </cell>
          <cell r="L5">
            <v>5</v>
          </cell>
          <cell r="M5">
            <v>21</v>
          </cell>
          <cell r="N5">
            <v>1</v>
          </cell>
          <cell r="O5">
            <v>31</v>
          </cell>
          <cell r="P5">
            <v>40</v>
          </cell>
        </row>
        <row r="6">
          <cell r="C6">
            <v>6.8534173486237089</v>
          </cell>
          <cell r="D6">
            <v>9.70789491499829</v>
          </cell>
          <cell r="G6">
            <v>2</v>
          </cell>
          <cell r="H6">
            <v>0</v>
          </cell>
          <cell r="I6">
            <v>43</v>
          </cell>
          <cell r="J6">
            <v>32</v>
          </cell>
          <cell r="K6">
            <v>18</v>
          </cell>
          <cell r="L6">
            <v>6</v>
          </cell>
          <cell r="M6">
            <v>24</v>
          </cell>
          <cell r="N6">
            <v>3</v>
          </cell>
          <cell r="O6">
            <v>28</v>
          </cell>
          <cell r="P6">
            <v>42</v>
          </cell>
        </row>
        <row r="7">
          <cell r="C7">
            <v>5.4128198946510011</v>
          </cell>
          <cell r="D7">
            <v>9.3799124036114373E-2</v>
          </cell>
          <cell r="G7">
            <v>45</v>
          </cell>
          <cell r="H7">
            <v>43</v>
          </cell>
          <cell r="I7">
            <v>0</v>
          </cell>
          <cell r="J7">
            <v>17</v>
          </cell>
          <cell r="K7">
            <v>22</v>
          </cell>
          <cell r="L7">
            <v>33</v>
          </cell>
          <cell r="M7">
            <v>35</v>
          </cell>
          <cell r="N7">
            <v>41</v>
          </cell>
          <cell r="O7">
            <v>8</v>
          </cell>
          <cell r="P7">
            <v>9</v>
          </cell>
        </row>
        <row r="8">
          <cell r="C8">
            <v>1.4594658067940303</v>
          </cell>
          <cell r="D8">
            <v>3.3280215969298554</v>
          </cell>
          <cell r="G8">
            <v>30</v>
          </cell>
          <cell r="H8">
            <v>32</v>
          </cell>
          <cell r="I8">
            <v>17</v>
          </cell>
          <cell r="J8">
            <v>0</v>
          </cell>
          <cell r="K8">
            <v>25</v>
          </cell>
          <cell r="L8">
            <v>38</v>
          </cell>
          <cell r="M8">
            <v>14</v>
          </cell>
          <cell r="N8">
            <v>44</v>
          </cell>
          <cell r="O8">
            <v>10</v>
          </cell>
          <cell r="P8">
            <v>15</v>
          </cell>
        </row>
        <row r="9">
          <cell r="C9">
            <v>7.1412223086887572</v>
          </cell>
          <cell r="D9">
            <v>5.8372740302994899</v>
          </cell>
          <cell r="G9">
            <v>16</v>
          </cell>
          <cell r="H9">
            <v>18</v>
          </cell>
          <cell r="I9">
            <v>22</v>
          </cell>
          <cell r="J9">
            <v>25</v>
          </cell>
          <cell r="K9">
            <v>0</v>
          </cell>
          <cell r="L9">
            <v>7</v>
          </cell>
          <cell r="M9">
            <v>29</v>
          </cell>
          <cell r="N9">
            <v>11</v>
          </cell>
          <cell r="O9">
            <v>13</v>
          </cell>
          <cell r="P9">
            <v>27</v>
          </cell>
        </row>
        <row r="10">
          <cell r="C10">
            <v>6.7286485052642249</v>
          </cell>
          <cell r="D10">
            <v>8.4629555047001173</v>
          </cell>
          <cell r="G10">
            <v>5</v>
          </cell>
          <cell r="H10">
            <v>6</v>
          </cell>
          <cell r="I10">
            <v>33</v>
          </cell>
          <cell r="J10">
            <v>38</v>
          </cell>
          <cell r="K10">
            <v>7</v>
          </cell>
          <cell r="L10">
            <v>0</v>
          </cell>
          <cell r="M10">
            <v>20</v>
          </cell>
          <cell r="N10">
            <v>4</v>
          </cell>
          <cell r="O10">
            <v>19</v>
          </cell>
          <cell r="P10">
            <v>36</v>
          </cell>
        </row>
        <row r="11">
          <cell r="C11">
            <v>0.9967653819854374</v>
          </cell>
          <cell r="D11">
            <v>8.3771549263647014</v>
          </cell>
          <cell r="G11">
            <v>21</v>
          </cell>
          <cell r="H11">
            <v>24</v>
          </cell>
          <cell r="I11">
            <v>35</v>
          </cell>
          <cell r="J11">
            <v>14</v>
          </cell>
          <cell r="K11">
            <v>29</v>
          </cell>
          <cell r="L11">
            <v>20</v>
          </cell>
          <cell r="M11">
            <v>0</v>
          </cell>
          <cell r="N11">
            <v>26</v>
          </cell>
          <cell r="O11">
            <v>23</v>
          </cell>
          <cell r="P11">
            <v>37</v>
          </cell>
        </row>
        <row r="12">
          <cell r="C12">
            <v>7.374803615098263</v>
          </cell>
          <cell r="D12">
            <v>9.5123762568798487</v>
          </cell>
          <cell r="G12">
            <v>1</v>
          </cell>
          <cell r="H12">
            <v>3</v>
          </cell>
          <cell r="I12">
            <v>41</v>
          </cell>
          <cell r="J12">
            <v>44</v>
          </cell>
          <cell r="K12">
            <v>11</v>
          </cell>
          <cell r="L12">
            <v>4</v>
          </cell>
          <cell r="M12">
            <v>26</v>
          </cell>
          <cell r="N12">
            <v>0</v>
          </cell>
          <cell r="O12">
            <v>34</v>
          </cell>
          <cell r="P12">
            <v>39</v>
          </cell>
        </row>
        <row r="13">
          <cell r="C13">
            <v>4.2610070844502879</v>
          </cell>
          <cell r="D13">
            <v>3.3366274144305499</v>
          </cell>
          <cell r="G13">
            <v>31</v>
          </cell>
          <cell r="H13">
            <v>28</v>
          </cell>
          <cell r="I13">
            <v>8</v>
          </cell>
          <cell r="J13">
            <v>10</v>
          </cell>
          <cell r="K13">
            <v>13</v>
          </cell>
          <cell r="L13">
            <v>19</v>
          </cell>
          <cell r="M13">
            <v>23</v>
          </cell>
          <cell r="N13">
            <v>34</v>
          </cell>
          <cell r="O13">
            <v>0</v>
          </cell>
          <cell r="P13">
            <v>12</v>
          </cell>
        </row>
        <row r="14">
          <cell r="C14">
            <v>3.9983656647865895</v>
          </cell>
          <cell r="D14">
            <v>0.43932223223419831</v>
          </cell>
          <cell r="G14">
            <v>40</v>
          </cell>
          <cell r="H14">
            <v>42</v>
          </cell>
          <cell r="I14">
            <v>9</v>
          </cell>
          <cell r="J14">
            <v>15</v>
          </cell>
          <cell r="K14">
            <v>27</v>
          </cell>
          <cell r="L14">
            <v>36</v>
          </cell>
          <cell r="M14">
            <v>37</v>
          </cell>
          <cell r="N14">
            <v>39</v>
          </cell>
          <cell r="O14">
            <v>12</v>
          </cell>
          <cell r="P14">
            <v>0</v>
          </cell>
        </row>
        <row r="31">
          <cell r="G31">
            <v>0</v>
          </cell>
          <cell r="H31">
            <v>11</v>
          </cell>
          <cell r="I31">
            <v>99</v>
          </cell>
          <cell r="J31">
            <v>75</v>
          </cell>
          <cell r="K31">
            <v>41</v>
          </cell>
          <cell r="L31">
            <v>21</v>
          </cell>
          <cell r="M31">
            <v>51</v>
          </cell>
          <cell r="N31">
            <v>15</v>
          </cell>
          <cell r="O31">
            <v>69</v>
          </cell>
          <cell r="P31">
            <v>95</v>
          </cell>
        </row>
        <row r="32">
          <cell r="G32">
            <v>11</v>
          </cell>
          <cell r="H32">
            <v>0</v>
          </cell>
          <cell r="I32">
            <v>97</v>
          </cell>
          <cell r="J32">
            <v>77</v>
          </cell>
          <cell r="K32">
            <v>39</v>
          </cell>
          <cell r="L32">
            <v>19</v>
          </cell>
          <cell r="M32">
            <v>57</v>
          </cell>
          <cell r="N32">
            <v>13</v>
          </cell>
          <cell r="O32">
            <v>67</v>
          </cell>
          <cell r="P32">
            <v>93</v>
          </cell>
        </row>
        <row r="33">
          <cell r="G33">
            <v>99</v>
          </cell>
          <cell r="H33">
            <v>97</v>
          </cell>
          <cell r="I33">
            <v>0</v>
          </cell>
          <cell r="J33">
            <v>45</v>
          </cell>
          <cell r="K33">
            <v>53</v>
          </cell>
          <cell r="L33">
            <v>79</v>
          </cell>
          <cell r="M33">
            <v>87</v>
          </cell>
          <cell r="N33">
            <v>89</v>
          </cell>
          <cell r="O33">
            <v>31</v>
          </cell>
          <cell r="P33">
            <v>23</v>
          </cell>
        </row>
        <row r="34">
          <cell r="G34">
            <v>75</v>
          </cell>
          <cell r="H34">
            <v>77</v>
          </cell>
          <cell r="I34">
            <v>45</v>
          </cell>
          <cell r="J34">
            <v>0</v>
          </cell>
          <cell r="K34">
            <v>59</v>
          </cell>
          <cell r="L34">
            <v>73</v>
          </cell>
          <cell r="M34">
            <v>43</v>
          </cell>
          <cell r="N34">
            <v>85</v>
          </cell>
          <cell r="O34">
            <v>27</v>
          </cell>
          <cell r="P34">
            <v>37</v>
          </cell>
        </row>
        <row r="35">
          <cell r="G35">
            <v>41</v>
          </cell>
          <cell r="H35">
            <v>39</v>
          </cell>
          <cell r="I35">
            <v>53</v>
          </cell>
          <cell r="J35">
            <v>59</v>
          </cell>
          <cell r="K35">
            <v>0</v>
          </cell>
          <cell r="L35">
            <v>25</v>
          </cell>
          <cell r="M35">
            <v>65</v>
          </cell>
          <cell r="N35">
            <v>33</v>
          </cell>
          <cell r="O35">
            <v>35</v>
          </cell>
          <cell r="P35">
            <v>61</v>
          </cell>
        </row>
        <row r="36">
          <cell r="G36">
            <v>21</v>
          </cell>
          <cell r="H36">
            <v>19</v>
          </cell>
          <cell r="I36">
            <v>79</v>
          </cell>
          <cell r="J36">
            <v>73</v>
          </cell>
          <cell r="K36">
            <v>25</v>
          </cell>
          <cell r="L36">
            <v>0</v>
          </cell>
          <cell r="M36">
            <v>49</v>
          </cell>
          <cell r="N36">
            <v>17</v>
          </cell>
          <cell r="O36">
            <v>47</v>
          </cell>
          <cell r="P36">
            <v>81</v>
          </cell>
        </row>
        <row r="37">
          <cell r="G37">
            <v>51</v>
          </cell>
          <cell r="H37">
            <v>57</v>
          </cell>
          <cell r="I37">
            <v>87</v>
          </cell>
          <cell r="J37">
            <v>43</v>
          </cell>
          <cell r="K37">
            <v>65</v>
          </cell>
          <cell r="L37">
            <v>49</v>
          </cell>
          <cell r="M37">
            <v>0</v>
          </cell>
          <cell r="N37">
            <v>63</v>
          </cell>
          <cell r="O37">
            <v>55</v>
          </cell>
          <cell r="P37">
            <v>83</v>
          </cell>
        </row>
        <row r="38">
          <cell r="G38">
            <v>15</v>
          </cell>
          <cell r="H38">
            <v>13</v>
          </cell>
          <cell r="I38">
            <v>89</v>
          </cell>
          <cell r="J38">
            <v>85</v>
          </cell>
          <cell r="K38">
            <v>33</v>
          </cell>
          <cell r="L38">
            <v>17</v>
          </cell>
          <cell r="M38">
            <v>63</v>
          </cell>
          <cell r="N38">
            <v>0</v>
          </cell>
          <cell r="O38">
            <v>71</v>
          </cell>
          <cell r="P38">
            <v>91</v>
          </cell>
        </row>
        <row r="39">
          <cell r="G39">
            <v>69</v>
          </cell>
          <cell r="H39">
            <v>67</v>
          </cell>
          <cell r="I39">
            <v>31</v>
          </cell>
          <cell r="J39">
            <v>27</v>
          </cell>
          <cell r="K39">
            <v>35</v>
          </cell>
          <cell r="L39">
            <v>47</v>
          </cell>
          <cell r="M39">
            <v>55</v>
          </cell>
          <cell r="N39">
            <v>71</v>
          </cell>
          <cell r="O39">
            <v>0</v>
          </cell>
          <cell r="P39">
            <v>29</v>
          </cell>
        </row>
        <row r="40">
          <cell r="G40">
            <v>95</v>
          </cell>
          <cell r="H40">
            <v>93</v>
          </cell>
          <cell r="I40">
            <v>23</v>
          </cell>
          <cell r="J40">
            <v>37</v>
          </cell>
          <cell r="K40">
            <v>61</v>
          </cell>
          <cell r="L40">
            <v>81</v>
          </cell>
          <cell r="M40">
            <v>83</v>
          </cell>
          <cell r="N40">
            <v>91</v>
          </cell>
          <cell r="O40">
            <v>29</v>
          </cell>
          <cell r="P40">
            <v>0</v>
          </cell>
        </row>
      </sheetData>
      <sheetData sheetId="1" refreshError="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luster Analysis"/>
      <sheetName val="4 Cluster Analysis"/>
      <sheetName val="MDS Analysis"/>
    </sheetNames>
    <sheetDataSet>
      <sheetData sheetId="0"/>
      <sheetData sheetId="1"/>
      <sheetData sheetId="2">
        <row r="90">
          <cell r="C90" t="str">
            <v>Y</v>
          </cell>
        </row>
        <row r="91">
          <cell r="B91">
            <v>1.6691513555941437</v>
          </cell>
          <cell r="C91">
            <v>-2.3907208170237575</v>
          </cell>
        </row>
        <row r="92">
          <cell r="B92">
            <v>0.73690819470310009</v>
          </cell>
          <cell r="C92">
            <v>-2.0794329239042009</v>
          </cell>
        </row>
        <row r="93">
          <cell r="B93">
            <v>1.4493813921882999</v>
          </cell>
          <cell r="C93">
            <v>-1.8538049452571821</v>
          </cell>
        </row>
        <row r="94">
          <cell r="B94">
            <v>1.4914323738173998</v>
          </cell>
          <cell r="C94">
            <v>-1.5404818671073552</v>
          </cell>
        </row>
        <row r="95">
          <cell r="B95">
            <v>1.274982616842484</v>
          </cell>
          <cell r="C95">
            <v>-1.3092774796629629</v>
          </cell>
        </row>
        <row r="96">
          <cell r="B96">
            <v>1.2876444955144564</v>
          </cell>
          <cell r="C96">
            <v>0.43695357609492125</v>
          </cell>
        </row>
        <row r="97">
          <cell r="B97">
            <v>0.64421390196975936</v>
          </cell>
          <cell r="C97">
            <v>-0.34474577634592324</v>
          </cell>
        </row>
        <row r="98">
          <cell r="B98">
            <v>0.24018800051497871</v>
          </cell>
          <cell r="C98">
            <v>-0.43035487466084776</v>
          </cell>
        </row>
        <row r="99">
          <cell r="B99">
            <v>0.52646642238237529</v>
          </cell>
          <cell r="C99">
            <v>0.95776606930435149</v>
          </cell>
        </row>
        <row r="100">
          <cell r="B100">
            <v>-0.35488387703537211</v>
          </cell>
          <cell r="C100">
            <v>0.29369371877844996</v>
          </cell>
        </row>
        <row r="101">
          <cell r="B101">
            <v>1.8112116780753907E-2</v>
          </cell>
          <cell r="C101">
            <v>1.2555254607595148</v>
          </cell>
        </row>
        <row r="102">
          <cell r="B102">
            <v>-0.26192142888752828</v>
          </cell>
          <cell r="C102">
            <v>1.4101380334330913</v>
          </cell>
        </row>
        <row r="103">
          <cell r="B103">
            <v>-0.84991699203753468</v>
          </cell>
          <cell r="C103">
            <v>1.461214210788361</v>
          </cell>
        </row>
        <row r="104">
          <cell r="B104">
            <v>-1.3465295617500601</v>
          </cell>
          <cell r="C104">
            <v>1.1966188265195403</v>
          </cell>
        </row>
        <row r="105">
          <cell r="B105">
            <v>-1.9992286408718052</v>
          </cell>
          <cell r="C105">
            <v>1.2512021355101977</v>
          </cell>
        </row>
        <row r="106">
          <cell r="B106">
            <v>-1.2489221930155376</v>
          </cell>
          <cell r="C106">
            <v>2.278675442852768</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31"/>
  <sheetViews>
    <sheetView zoomScale="150" workbookViewId="0">
      <selection sqref="A1:XFD1048576"/>
    </sheetView>
  </sheetViews>
  <sheetFormatPr baseColWidth="10" defaultColWidth="8.83203125" defaultRowHeight="15" x14ac:dyDescent="0.2"/>
  <cols>
    <col min="1" max="1" width="10.1640625" customWidth="1"/>
    <col min="3" max="5" width="9.6640625" bestFit="1" customWidth="1"/>
    <col min="6" max="6" width="10.33203125" customWidth="1"/>
    <col min="7" max="7" width="10.33203125" bestFit="1" customWidth="1"/>
    <col min="8" max="8" width="10.1640625" bestFit="1" customWidth="1"/>
    <col min="9" max="9" width="11.33203125" customWidth="1"/>
    <col min="10" max="10" width="10.1640625" bestFit="1" customWidth="1"/>
    <col min="11" max="11" width="9.5" customWidth="1"/>
    <col min="16" max="16" width="9.6640625" bestFit="1" customWidth="1"/>
    <col min="17" max="20" width="10.1640625" bestFit="1" customWidth="1"/>
    <col min="25" max="25" width="13.6640625" customWidth="1"/>
    <col min="26" max="26" width="12.6640625" customWidth="1"/>
  </cols>
  <sheetData>
    <row r="1" spans="1:30" x14ac:dyDescent="0.2">
      <c r="A1" s="1" t="s">
        <v>7</v>
      </c>
    </row>
    <row r="2" spans="1:30" x14ac:dyDescent="0.2">
      <c r="A2" s="1" t="s">
        <v>18</v>
      </c>
    </row>
    <row r="3" spans="1:30" ht="16" thickBot="1" x14ac:dyDescent="0.25">
      <c r="A3" s="1" t="s">
        <v>17</v>
      </c>
      <c r="P3">
        <v>7</v>
      </c>
      <c r="Q3">
        <v>8</v>
      </c>
      <c r="R3">
        <v>9</v>
      </c>
      <c r="S3">
        <v>10</v>
      </c>
      <c r="T3">
        <v>11</v>
      </c>
    </row>
    <row r="4" spans="1:30" ht="26" customHeight="1" thickBot="1" x14ac:dyDescent="0.25">
      <c r="A4" s="1" t="s">
        <v>15</v>
      </c>
      <c r="N4" s="18" t="s">
        <v>21</v>
      </c>
      <c r="O4" s="18" t="s">
        <v>22</v>
      </c>
      <c r="P4" s="10" t="s">
        <v>33</v>
      </c>
      <c r="Q4" s="10" t="s">
        <v>34</v>
      </c>
      <c r="R4" s="10" t="s">
        <v>35</v>
      </c>
      <c r="S4" s="10" t="s">
        <v>36</v>
      </c>
      <c r="T4" s="10" t="s">
        <v>37</v>
      </c>
      <c r="X4" s="19" t="s">
        <v>32</v>
      </c>
      <c r="Y4" s="19"/>
      <c r="Z4" s="19"/>
      <c r="AA4" s="19"/>
      <c r="AB4" s="19"/>
      <c r="AC4" s="19"/>
      <c r="AD4" s="19"/>
    </row>
    <row r="5" spans="1:30" ht="24" customHeight="1" thickBot="1" x14ac:dyDescent="0.25">
      <c r="N5">
        <v>1</v>
      </c>
      <c r="O5">
        <v>6</v>
      </c>
      <c r="P5" s="12">
        <f>VLOOKUP($O5,$A$15:$K$30,P$3)</f>
        <v>-1.4361406616345072</v>
      </c>
      <c r="Q5" s="12">
        <f t="shared" ref="Q5:T9" si="0">VLOOKUP($O5,$A$15:$K$30,Q$3)</f>
        <v>1.3491018336566583</v>
      </c>
      <c r="R5" s="12">
        <f t="shared" si="0"/>
        <v>1.3491018336566583</v>
      </c>
      <c r="S5" s="12">
        <f t="shared" si="0"/>
        <v>0.65279120983386685</v>
      </c>
      <c r="T5" s="12">
        <f t="shared" si="0"/>
        <v>0.65279120983386685</v>
      </c>
      <c r="X5" s="18" t="s">
        <v>21</v>
      </c>
      <c r="Y5" s="18" t="s">
        <v>31</v>
      </c>
      <c r="Z5" s="17" t="s">
        <v>33</v>
      </c>
      <c r="AA5" s="17" t="s">
        <v>34</v>
      </c>
      <c r="AB5" s="17" t="s">
        <v>35</v>
      </c>
      <c r="AC5" s="17" t="s">
        <v>36</v>
      </c>
      <c r="AD5" s="17" t="s">
        <v>37</v>
      </c>
    </row>
    <row r="6" spans="1:30" ht="24" customHeight="1" thickBot="1" x14ac:dyDescent="0.25">
      <c r="N6">
        <v>2</v>
      </c>
      <c r="O6">
        <v>16</v>
      </c>
      <c r="P6" s="12">
        <f>VLOOKUP($O6,$A$15:$K$30,P$3)</f>
        <v>-0.73983003781171586</v>
      </c>
      <c r="Q6" s="12">
        <f>VLOOKUP($O6,$A$15:$K$30,Q$3)</f>
        <v>0.65279120983386685</v>
      </c>
      <c r="R6" s="12">
        <f t="shared" si="0"/>
        <v>-4.3519413988924463E-2</v>
      </c>
      <c r="S6" s="12">
        <f t="shared" si="0"/>
        <v>-4.3519413988924463E-2</v>
      </c>
      <c r="T6" s="12">
        <f>VLOOKUP($O6,$A$15:$K$30,T$3)</f>
        <v>0.65279120983386685</v>
      </c>
      <c r="X6">
        <v>1</v>
      </c>
      <c r="Y6">
        <f>COUNTIF($R$15:$R$30,X6)</f>
        <v>2</v>
      </c>
      <c r="Z6" s="12">
        <f>AVERAGEIF($R$15:$R$30,X6,$B$15:$B$30)</f>
        <v>1</v>
      </c>
      <c r="AA6" s="12">
        <f>AVERAGEIF($R$15:$R$30,X6,$H$15:$H$30)</f>
        <v>1.3491018336566583</v>
      </c>
      <c r="AB6" s="12">
        <f>AVERAGEIF($R$15:$R$30,X6,$I$15:$I$30)</f>
        <v>1.3491018336566583</v>
      </c>
      <c r="AC6" s="8">
        <f>AVERAGEIF($R$15:$R$30,X6,$E$15:$E$30)</f>
        <v>4</v>
      </c>
      <c r="AD6" s="8">
        <f>AVERAGEIF($R$15:$R$30,X6,$F$15:$F$30)</f>
        <v>4.5</v>
      </c>
    </row>
    <row r="7" spans="1:30" ht="26" customHeight="1" thickBot="1" x14ac:dyDescent="0.25">
      <c r="B7" s="20"/>
      <c r="C7" s="9" t="s">
        <v>2</v>
      </c>
      <c r="D7" s="10" t="s">
        <v>3</v>
      </c>
      <c r="E7" s="10" t="s">
        <v>4</v>
      </c>
      <c r="F7" s="10" t="s">
        <v>5</v>
      </c>
      <c r="G7" s="11" t="s">
        <v>6</v>
      </c>
      <c r="N7">
        <v>3</v>
      </c>
      <c r="O7">
        <v>3</v>
      </c>
      <c r="P7" s="12">
        <f t="shared" ref="P6:P9" si="1">VLOOKUP($O7,$A$15:$K$30,P$3)</f>
        <v>1.3491018336566583</v>
      </c>
      <c r="Q7" s="12">
        <f t="shared" si="0"/>
        <v>0.65279120983386685</v>
      </c>
      <c r="R7" s="12">
        <f t="shared" si="0"/>
        <v>-0.73983003781171586</v>
      </c>
      <c r="S7" s="12">
        <f t="shared" si="0"/>
        <v>-1.4361406616345072</v>
      </c>
      <c r="T7" s="12">
        <f t="shared" si="0"/>
        <v>-1.4361406616345072</v>
      </c>
      <c r="X7">
        <v>2</v>
      </c>
      <c r="Y7">
        <f>COUNTIF($R$15:$R$30,X7)</f>
        <v>4</v>
      </c>
      <c r="Z7" s="12">
        <f t="shared" ref="Z7:Z10" si="2">AVERAGEIF($R$15:$R$30,X7,$B$15:$B$30)</f>
        <v>2.5</v>
      </c>
      <c r="AA7" s="12">
        <f>AVERAGEIF($R$15:$R$30,X7,$H$15:$H$30)</f>
        <v>0.478713553878169</v>
      </c>
      <c r="AB7" s="12">
        <f t="shared" ref="AB7:AB10" si="3">AVERAGEIF($R$15:$R$30,X7,$I$15:$I$30)</f>
        <v>-0.2175970699446223</v>
      </c>
      <c r="AC7" s="8">
        <f t="shared" ref="AC7:AC10" si="4">AVERAGEIF($R$15:$R$30,X7,$E$15:$E$30)</f>
        <v>2.75</v>
      </c>
      <c r="AD7" s="8">
        <f t="shared" ref="AD7:AD10" si="5">AVERAGEIF($R$15:$R$30,X7,$F$15:$F$30)</f>
        <v>4</v>
      </c>
    </row>
    <row r="8" spans="1:30" x14ac:dyDescent="0.2">
      <c r="B8" s="20" t="s">
        <v>19</v>
      </c>
      <c r="C8" s="8">
        <f xml:space="preserve"> AVERAGE(B15:B30)</f>
        <v>3.0625</v>
      </c>
      <c r="D8" s="8">
        <f>AVERAGE(C15:C30)</f>
        <v>4</v>
      </c>
      <c r="E8" s="8">
        <f>AVERAGE(D15:D30)</f>
        <v>3.25</v>
      </c>
      <c r="F8" s="8">
        <f>AVERAGE(E15:E30)</f>
        <v>2.75</v>
      </c>
      <c r="G8" s="8">
        <f>AVERAGE(F15:F30)</f>
        <v>3</v>
      </c>
      <c r="N8">
        <v>4</v>
      </c>
      <c r="O8">
        <v>12</v>
      </c>
      <c r="P8" s="12">
        <f t="shared" si="1"/>
        <v>-0.73983003781171586</v>
      </c>
      <c r="Q8" s="12">
        <f t="shared" si="0"/>
        <v>1.3491018336566583</v>
      </c>
      <c r="R8" s="12">
        <f t="shared" si="0"/>
        <v>0.65279120983386685</v>
      </c>
      <c r="S8" s="12">
        <f t="shared" si="0"/>
        <v>1.3491018336566583</v>
      </c>
      <c r="T8" s="12">
        <f t="shared" si="0"/>
        <v>1.3491018336566583</v>
      </c>
      <c r="X8">
        <v>3</v>
      </c>
      <c r="Y8">
        <f>COUNTIF($R$15:$R$30,X8)</f>
        <v>4</v>
      </c>
      <c r="Z8" s="12">
        <f t="shared" si="2"/>
        <v>4.75</v>
      </c>
      <c r="AA8" s="12">
        <f t="shared" ref="AA7:AA10" si="6">AVERAGEIF($R$15:$R$30,X8,$H$15:$H$30)</f>
        <v>0.82686886578956476</v>
      </c>
      <c r="AB8" s="12">
        <f t="shared" si="3"/>
        <v>-1.0879853497231116</v>
      </c>
      <c r="AC8" s="8">
        <f t="shared" si="4"/>
        <v>1.25</v>
      </c>
      <c r="AD8" s="8">
        <f t="shared" si="5"/>
        <v>1</v>
      </c>
    </row>
    <row r="9" spans="1:30" x14ac:dyDescent="0.2">
      <c r="B9" s="20" t="s">
        <v>20</v>
      </c>
      <c r="C9" s="12">
        <f>STDEV(B15:B30)</f>
        <v>1.4361406616345072</v>
      </c>
      <c r="D9" s="12">
        <f t="shared" ref="D9:G9" si="7">STDEV(C15:C30)</f>
        <v>0.89442719099991586</v>
      </c>
      <c r="E9" s="12">
        <f t="shared" si="7"/>
        <v>1.3416407864998738</v>
      </c>
      <c r="F9" s="12">
        <f t="shared" si="7"/>
        <v>1.2909944487358056</v>
      </c>
      <c r="G9" s="12">
        <f t="shared" si="7"/>
        <v>1.5916448515084429</v>
      </c>
      <c r="N9">
        <v>5</v>
      </c>
      <c r="O9">
        <v>8</v>
      </c>
      <c r="P9" s="12">
        <f t="shared" si="1"/>
        <v>0.65279120983386685</v>
      </c>
      <c r="Q9" s="12">
        <f t="shared" si="0"/>
        <v>-4.3519413988924463E-2</v>
      </c>
      <c r="R9" s="12">
        <f t="shared" si="0"/>
        <v>0.65279120983386685</v>
      </c>
      <c r="S9" s="12">
        <f t="shared" si="0"/>
        <v>-0.73983003781171586</v>
      </c>
      <c r="T9" s="12">
        <f>VLOOKUP($O9,$A$15:$K$30,T$3)</f>
        <v>-0.73983003781171586</v>
      </c>
      <c r="X9">
        <v>4</v>
      </c>
      <c r="Y9">
        <f>COUNTIF($R$15:$R$30,X9)</f>
        <v>2</v>
      </c>
      <c r="Z9" s="12">
        <f>AVERAGEIF($R$15:$R$30,X9,$B$15:$B$30)</f>
        <v>1.5</v>
      </c>
      <c r="AA9" s="12">
        <f t="shared" si="6"/>
        <v>1.3491018336566583</v>
      </c>
      <c r="AB9" s="12">
        <f t="shared" si="3"/>
        <v>0.65279120983386685</v>
      </c>
      <c r="AC9" s="8">
        <f t="shared" si="4"/>
        <v>5</v>
      </c>
      <c r="AD9" s="8">
        <f t="shared" si="5"/>
        <v>5</v>
      </c>
    </row>
    <row r="10" spans="1:30" x14ac:dyDescent="0.2">
      <c r="X10">
        <v>5</v>
      </c>
      <c r="Y10">
        <f>COUNTIF($R$15:$R$30,X10)</f>
        <v>4</v>
      </c>
      <c r="Z10" s="12">
        <f>AVERAGEIF($R$15:$R$30,X10,$B$15:$B$30)</f>
        <v>3.75</v>
      </c>
      <c r="AA10" s="12">
        <f t="shared" si="6"/>
        <v>-4.3519413988924477E-2</v>
      </c>
      <c r="AB10" s="12">
        <f t="shared" si="3"/>
        <v>0.82686886578956464</v>
      </c>
      <c r="AC10" s="8">
        <f t="shared" si="4"/>
        <v>2.5</v>
      </c>
      <c r="AD10" s="8">
        <f t="shared" si="5"/>
        <v>2.25</v>
      </c>
    </row>
    <row r="12" spans="1:30" x14ac:dyDescent="0.2">
      <c r="R12" s="15" t="s">
        <v>30</v>
      </c>
      <c r="S12" s="16">
        <f>SUM(Q15:Q30)</f>
        <v>10.181818181818182</v>
      </c>
    </row>
    <row r="13" spans="1:30" ht="16" thickBot="1" x14ac:dyDescent="0.25">
      <c r="B13" s="7" t="s">
        <v>0</v>
      </c>
      <c r="C13" s="7"/>
      <c r="D13" s="7"/>
      <c r="E13" s="7"/>
      <c r="F13" s="7"/>
    </row>
    <row r="14" spans="1:30" ht="43" thickBot="1" x14ac:dyDescent="0.25">
      <c r="A14" s="2" t="s">
        <v>1</v>
      </c>
      <c r="B14" s="2" t="s">
        <v>2</v>
      </c>
      <c r="C14" s="2" t="s">
        <v>3</v>
      </c>
      <c r="D14" s="2" t="s">
        <v>4</v>
      </c>
      <c r="E14" s="2" t="s">
        <v>5</v>
      </c>
      <c r="F14" s="2" t="s">
        <v>6</v>
      </c>
      <c r="G14" s="10" t="s">
        <v>33</v>
      </c>
      <c r="H14" s="10" t="s">
        <v>34</v>
      </c>
      <c r="I14" s="10" t="s">
        <v>35</v>
      </c>
      <c r="J14" s="10" t="s">
        <v>36</v>
      </c>
      <c r="K14" s="10" t="s">
        <v>37</v>
      </c>
      <c r="L14" s="13" t="s">
        <v>23</v>
      </c>
      <c r="M14" s="13" t="s">
        <v>24</v>
      </c>
      <c r="N14" s="13" t="s">
        <v>25</v>
      </c>
      <c r="O14" s="13" t="s">
        <v>26</v>
      </c>
      <c r="P14" s="13" t="s">
        <v>27</v>
      </c>
      <c r="Q14" s="13" t="s">
        <v>28</v>
      </c>
      <c r="R14" s="14" t="s">
        <v>29</v>
      </c>
    </row>
    <row r="15" spans="1:30" x14ac:dyDescent="0.2">
      <c r="A15" s="3">
        <v>1</v>
      </c>
      <c r="B15" s="4">
        <v>5</v>
      </c>
      <c r="C15" s="4">
        <v>4</v>
      </c>
      <c r="D15" s="4">
        <v>1</v>
      </c>
      <c r="E15" s="4">
        <v>2</v>
      </c>
      <c r="F15" s="4">
        <v>1</v>
      </c>
      <c r="G15" s="12">
        <f>STANDARDIZE(B15,$C$8,$C$9)</f>
        <v>1.3491018336566583</v>
      </c>
      <c r="H15" s="12">
        <f>STANDARDIZE(C15,$C$8,$C$9)</f>
        <v>0.65279120983386685</v>
      </c>
      <c r="I15" s="12">
        <f>STANDARDIZE(D15,$C$8,$C$9)</f>
        <v>-1.4361406616345072</v>
      </c>
      <c r="J15" s="12">
        <f>STANDARDIZE(E15,$C$8,$C$9)</f>
        <v>-0.73983003781171586</v>
      </c>
      <c r="K15" s="12">
        <f>STANDARDIZE(F15,$C$8,$C$9)</f>
        <v>-1.4361406616345072</v>
      </c>
      <c r="L15" s="12">
        <f>SUMXMY2($P$5:$T$5, $G15:$K15)</f>
        <v>22.303030303030308</v>
      </c>
      <c r="M15" s="12">
        <f>SUMXMY2($P$6:$T$6, $G15:$K15)</f>
        <v>11.151515151515152</v>
      </c>
      <c r="N15" s="12">
        <f>SUMXMY2($P$7:$T$7, $G15:$K15)</f>
        <v>0.9696969696969695</v>
      </c>
      <c r="O15" s="12">
        <f>SUMXMY2($P$8:$T$8, $G15:$K15)</f>
        <v>21.333333333333332</v>
      </c>
      <c r="P15" s="12">
        <f>SUMXMY2($P$9:$T$9, $G15:$K15)</f>
        <v>5.8181818181818175</v>
      </c>
      <c r="Q15" s="12">
        <f>MIN(L15:P15)</f>
        <v>0.9696969696969695</v>
      </c>
      <c r="R15">
        <f>MATCH(Q15,L15:P15,0)</f>
        <v>3</v>
      </c>
    </row>
    <row r="16" spans="1:30" x14ac:dyDescent="0.2">
      <c r="A16" s="3">
        <v>2</v>
      </c>
      <c r="B16" s="4">
        <v>4</v>
      </c>
      <c r="C16" s="4">
        <v>3</v>
      </c>
      <c r="D16" s="4">
        <v>4</v>
      </c>
      <c r="E16" s="4">
        <v>3</v>
      </c>
      <c r="F16" s="4">
        <v>2</v>
      </c>
      <c r="G16" s="12">
        <f t="shared" ref="G16:G30" si="8">STANDARDIZE(B16,$C$8,$C$9)</f>
        <v>0.65279120983386685</v>
      </c>
      <c r="H16" s="12">
        <f t="shared" ref="H16:H30" si="9">STANDARDIZE(C16,$C$8,$C$9)</f>
        <v>-4.3519413988924463E-2</v>
      </c>
      <c r="I16" s="12">
        <f t="shared" ref="I16:I30" si="10">STANDARDIZE(D16,$C$8,$C$9)</f>
        <v>0.65279120983386685</v>
      </c>
      <c r="J16" s="12">
        <f>STANDARDIZE(E16,$C$8,$C$9)</f>
        <v>-4.3519413988924463E-2</v>
      </c>
      <c r="K16" s="12">
        <f t="shared" ref="K16:K30" si="11">STANDARDIZE(F16,$C$8,$C$9)</f>
        <v>-0.73983003781171586</v>
      </c>
      <c r="L16" s="12">
        <f t="shared" ref="L16:L30" si="12">SUMXMY2($P$5:$T$5, $G16:$K16)</f>
        <v>9.2121212121212128</v>
      </c>
      <c r="M16" s="12">
        <f t="shared" ref="M16:M30" si="13">SUMXMY2($P$6:$T$6, $G16:$K16)</f>
        <v>4.8484848484848486</v>
      </c>
      <c r="N16" s="12">
        <f t="shared" ref="N16:N30" si="14">SUMXMY2($P$7:$T$7, $G16:$K16)</f>
        <v>5.3333333333333321</v>
      </c>
      <c r="O16" s="12">
        <f t="shared" ref="O16:O30" si="15">SUMXMY2($P$8:$T$8, $G16:$K16)</f>
        <v>10.181818181818183</v>
      </c>
      <c r="P16" s="12">
        <f>SUMXMY2($P$9:$T$9, $G16:$K16)</f>
        <v>0.48484848484848492</v>
      </c>
      <c r="Q16" s="12">
        <f t="shared" ref="Q16:Q30" si="16">MIN(L16:P16)</f>
        <v>0.48484848484848492</v>
      </c>
      <c r="R16">
        <f t="shared" ref="R16:R30" si="17">MATCH(Q16,L16:P16,0)</f>
        <v>5</v>
      </c>
    </row>
    <row r="17" spans="1:18" x14ac:dyDescent="0.2">
      <c r="A17" s="3">
        <v>3</v>
      </c>
      <c r="B17" s="4">
        <v>5</v>
      </c>
      <c r="C17" s="4">
        <v>4</v>
      </c>
      <c r="D17" s="4">
        <v>2</v>
      </c>
      <c r="E17" s="4">
        <v>1</v>
      </c>
      <c r="F17" s="4">
        <v>1</v>
      </c>
      <c r="G17" s="12">
        <f t="shared" si="8"/>
        <v>1.3491018336566583</v>
      </c>
      <c r="H17" s="12">
        <f t="shared" si="9"/>
        <v>0.65279120983386685</v>
      </c>
      <c r="I17" s="12">
        <f t="shared" si="10"/>
        <v>-0.73983003781171586</v>
      </c>
      <c r="J17" s="12">
        <f t="shared" ref="J17:J30" si="18">STANDARDIZE(E17,$C$8,$C$9)</f>
        <v>-1.4361406616345072</v>
      </c>
      <c r="K17" s="12">
        <f t="shared" si="11"/>
        <v>-1.4361406616345072</v>
      </c>
      <c r="L17" s="12">
        <f t="shared" si="12"/>
        <v>21.333333333333332</v>
      </c>
      <c r="M17" s="12">
        <f t="shared" si="13"/>
        <v>11.15151515151515</v>
      </c>
      <c r="N17" s="12">
        <f t="shared" si="14"/>
        <v>0</v>
      </c>
      <c r="O17" s="12">
        <f t="shared" si="15"/>
        <v>22.303030303030305</v>
      </c>
      <c r="P17" s="12">
        <f t="shared" ref="O16:P30" si="19">SUMXMY2($P$9:$T$9, $G17:$K17)</f>
        <v>3.8787878787878789</v>
      </c>
      <c r="Q17" s="12">
        <f>MIN(L17:P17)</f>
        <v>0</v>
      </c>
      <c r="R17">
        <f t="shared" si="17"/>
        <v>3</v>
      </c>
    </row>
    <row r="18" spans="1:18" x14ac:dyDescent="0.2">
      <c r="A18" s="3">
        <v>4</v>
      </c>
      <c r="B18" s="4">
        <v>5</v>
      </c>
      <c r="C18" s="4">
        <v>5</v>
      </c>
      <c r="D18" s="4">
        <v>2</v>
      </c>
      <c r="E18" s="4">
        <v>1</v>
      </c>
      <c r="F18" s="4">
        <v>1</v>
      </c>
      <c r="G18" s="12">
        <f t="shared" si="8"/>
        <v>1.3491018336566583</v>
      </c>
      <c r="H18" s="12">
        <f t="shared" si="9"/>
        <v>1.3491018336566583</v>
      </c>
      <c r="I18" s="12">
        <f t="shared" si="10"/>
        <v>-0.73983003781171586</v>
      </c>
      <c r="J18" s="12">
        <f t="shared" si="18"/>
        <v>-1.4361406616345072</v>
      </c>
      <c r="K18" s="12">
        <f t="shared" si="11"/>
        <v>-1.4361406616345072</v>
      </c>
      <c r="L18" s="12">
        <f t="shared" si="12"/>
        <v>20.848484848484848</v>
      </c>
      <c r="M18" s="12">
        <f t="shared" si="13"/>
        <v>11.636363636363637</v>
      </c>
      <c r="N18" s="12">
        <f t="shared" si="14"/>
        <v>0.48484848484848492</v>
      </c>
      <c r="O18" s="12">
        <f t="shared" si="15"/>
        <v>21.81818181818182</v>
      </c>
      <c r="P18" s="12">
        <f>SUMXMY2($P$9:$T$9, $G18:$K18)</f>
        <v>5.333333333333333</v>
      </c>
      <c r="Q18" s="12">
        <f t="shared" si="16"/>
        <v>0.48484848484848492</v>
      </c>
      <c r="R18">
        <f t="shared" si="17"/>
        <v>3</v>
      </c>
    </row>
    <row r="19" spans="1:18" x14ac:dyDescent="0.2">
      <c r="A19" s="3">
        <v>5</v>
      </c>
      <c r="B19" s="4">
        <v>4</v>
      </c>
      <c r="C19" s="4">
        <v>4</v>
      </c>
      <c r="D19" s="4">
        <v>1</v>
      </c>
      <c r="E19" s="4">
        <v>1</v>
      </c>
      <c r="F19" s="4">
        <v>1</v>
      </c>
      <c r="G19" s="12">
        <f t="shared" si="8"/>
        <v>0.65279120983386685</v>
      </c>
      <c r="H19" s="12">
        <f t="shared" si="9"/>
        <v>0.65279120983386685</v>
      </c>
      <c r="I19" s="12">
        <f t="shared" si="10"/>
        <v>-1.4361406616345072</v>
      </c>
      <c r="J19" s="12">
        <f t="shared" si="18"/>
        <v>-1.4361406616345072</v>
      </c>
      <c r="K19" s="12">
        <f t="shared" si="11"/>
        <v>-1.4361406616345072</v>
      </c>
      <c r="L19" s="12">
        <f t="shared" si="12"/>
        <v>21.333333333333332</v>
      </c>
      <c r="M19" s="12">
        <f t="shared" si="13"/>
        <v>10.181818181818182</v>
      </c>
      <c r="N19" s="12">
        <f t="shared" si="14"/>
        <v>0.96969696969696972</v>
      </c>
      <c r="O19" s="12">
        <f t="shared" si="15"/>
        <v>22.303030303030305</v>
      </c>
      <c r="P19" s="12">
        <f>SUMXMY2($P$9:$T$9, $G19:$K19)</f>
        <v>5.8181818181818166</v>
      </c>
      <c r="Q19" s="12">
        <f>MIN(L19:P19)</f>
        <v>0.96969696969696972</v>
      </c>
      <c r="R19">
        <f t="shared" si="17"/>
        <v>3</v>
      </c>
    </row>
    <row r="20" spans="1:18" x14ac:dyDescent="0.2">
      <c r="A20" s="3">
        <v>6</v>
      </c>
      <c r="B20" s="4">
        <v>1</v>
      </c>
      <c r="C20" s="4">
        <v>5</v>
      </c>
      <c r="D20" s="4">
        <v>5</v>
      </c>
      <c r="E20" s="4">
        <v>4</v>
      </c>
      <c r="F20" s="4">
        <v>4</v>
      </c>
      <c r="G20" s="12">
        <f t="shared" si="8"/>
        <v>-1.4361406616345072</v>
      </c>
      <c r="H20" s="12">
        <f t="shared" si="9"/>
        <v>1.3491018336566583</v>
      </c>
      <c r="I20" s="12">
        <f t="shared" si="10"/>
        <v>1.3491018336566583</v>
      </c>
      <c r="J20" s="12">
        <f t="shared" si="18"/>
        <v>0.65279120983386685</v>
      </c>
      <c r="K20" s="12">
        <f t="shared" si="11"/>
        <v>0.65279120983386685</v>
      </c>
      <c r="L20" s="12">
        <f t="shared" si="12"/>
        <v>0</v>
      </c>
      <c r="M20" s="12">
        <f t="shared" si="13"/>
        <v>3.393939393939394</v>
      </c>
      <c r="N20" s="12">
        <f t="shared" si="14"/>
        <v>21.333333333333332</v>
      </c>
      <c r="O20" s="12">
        <f t="shared" si="15"/>
        <v>1.9393939393939394</v>
      </c>
      <c r="P20" s="12">
        <f t="shared" si="19"/>
        <v>10.666666666666668</v>
      </c>
      <c r="Q20" s="12">
        <f>MIN(L20:P20)</f>
        <v>0</v>
      </c>
      <c r="R20">
        <f t="shared" si="17"/>
        <v>1</v>
      </c>
    </row>
    <row r="21" spans="1:18" x14ac:dyDescent="0.2">
      <c r="A21" s="3">
        <v>7</v>
      </c>
      <c r="B21" s="4">
        <v>4</v>
      </c>
      <c r="C21" s="4">
        <v>4</v>
      </c>
      <c r="D21" s="4">
        <v>4</v>
      </c>
      <c r="E21" s="4">
        <v>3</v>
      </c>
      <c r="F21" s="4">
        <v>3</v>
      </c>
      <c r="G21" s="12">
        <f t="shared" si="8"/>
        <v>0.65279120983386685</v>
      </c>
      <c r="H21" s="12">
        <f t="shared" si="9"/>
        <v>0.65279120983386685</v>
      </c>
      <c r="I21" s="12">
        <f t="shared" si="10"/>
        <v>0.65279120983386685</v>
      </c>
      <c r="J21" s="12">
        <f t="shared" si="18"/>
        <v>-4.3519413988924463E-2</v>
      </c>
      <c r="K21" s="12">
        <f t="shared" si="11"/>
        <v>-4.3519413988924463E-2</v>
      </c>
      <c r="L21" s="12">
        <f t="shared" si="12"/>
        <v>6.3030303030303028</v>
      </c>
      <c r="M21" s="12">
        <f t="shared" si="13"/>
        <v>2.9090909090909092</v>
      </c>
      <c r="N21" s="12">
        <f t="shared" si="14"/>
        <v>6.3030303030303028</v>
      </c>
      <c r="O21" s="12">
        <f t="shared" si="15"/>
        <v>6.3030303030303036</v>
      </c>
      <c r="P21" s="12">
        <f t="shared" si="19"/>
        <v>1.4545454545454546</v>
      </c>
      <c r="Q21" s="12">
        <f t="shared" si="16"/>
        <v>1.4545454545454546</v>
      </c>
      <c r="R21">
        <f t="shared" si="17"/>
        <v>5</v>
      </c>
    </row>
    <row r="22" spans="1:18" x14ac:dyDescent="0.2">
      <c r="A22" s="3">
        <v>8</v>
      </c>
      <c r="B22" s="4">
        <v>4</v>
      </c>
      <c r="C22" s="4">
        <v>3</v>
      </c>
      <c r="D22" s="4">
        <v>4</v>
      </c>
      <c r="E22" s="4">
        <v>2</v>
      </c>
      <c r="F22" s="4">
        <v>2</v>
      </c>
      <c r="G22" s="12">
        <f t="shared" si="8"/>
        <v>0.65279120983386685</v>
      </c>
      <c r="H22" s="12">
        <f t="shared" si="9"/>
        <v>-4.3519413988924463E-2</v>
      </c>
      <c r="I22" s="12">
        <f t="shared" si="10"/>
        <v>0.65279120983386685</v>
      </c>
      <c r="J22" s="12">
        <f t="shared" si="18"/>
        <v>-0.73983003781171586</v>
      </c>
      <c r="K22" s="12">
        <f t="shared" si="11"/>
        <v>-0.73983003781171586</v>
      </c>
      <c r="L22" s="12">
        <f t="shared" si="12"/>
        <v>10.666666666666668</v>
      </c>
      <c r="M22" s="12">
        <f t="shared" si="13"/>
        <v>5.3333333333333339</v>
      </c>
      <c r="N22" s="12">
        <f t="shared" si="14"/>
        <v>3.8787878787878789</v>
      </c>
      <c r="O22" s="12">
        <f t="shared" si="15"/>
        <v>12.606060606060606</v>
      </c>
      <c r="P22" s="12">
        <f t="shared" si="19"/>
        <v>0</v>
      </c>
      <c r="Q22" s="12">
        <f t="shared" si="16"/>
        <v>0</v>
      </c>
      <c r="R22">
        <f t="shared" si="17"/>
        <v>5</v>
      </c>
    </row>
    <row r="23" spans="1:18" x14ac:dyDescent="0.2">
      <c r="A23" s="3">
        <v>9</v>
      </c>
      <c r="B23" s="4">
        <v>1</v>
      </c>
      <c r="C23" s="4">
        <v>5</v>
      </c>
      <c r="D23" s="4">
        <v>4</v>
      </c>
      <c r="E23" s="4">
        <v>5</v>
      </c>
      <c r="F23" s="4">
        <v>5</v>
      </c>
      <c r="G23" s="12">
        <f t="shared" si="8"/>
        <v>-1.4361406616345072</v>
      </c>
      <c r="H23" s="12">
        <f t="shared" si="9"/>
        <v>1.3491018336566583</v>
      </c>
      <c r="I23" s="12">
        <f t="shared" si="10"/>
        <v>0.65279120983386685</v>
      </c>
      <c r="J23" s="12">
        <f t="shared" si="18"/>
        <v>1.3491018336566583</v>
      </c>
      <c r="K23" s="12">
        <f t="shared" si="11"/>
        <v>1.3491018336566583</v>
      </c>
      <c r="L23" s="12">
        <f t="shared" si="12"/>
        <v>1.4545454545454548</v>
      </c>
      <c r="M23" s="12">
        <f t="shared" si="13"/>
        <v>3.8787878787878793</v>
      </c>
      <c r="N23" s="12">
        <f t="shared" si="14"/>
        <v>25.696969696969699</v>
      </c>
      <c r="O23" s="12">
        <f t="shared" si="15"/>
        <v>0.48484848484848475</v>
      </c>
      <c r="P23" s="12">
        <f t="shared" si="19"/>
        <v>15.030303030303029</v>
      </c>
      <c r="Q23" s="12">
        <f t="shared" si="16"/>
        <v>0.48484848484848475</v>
      </c>
      <c r="R23">
        <f t="shared" si="17"/>
        <v>4</v>
      </c>
    </row>
    <row r="24" spans="1:18" x14ac:dyDescent="0.2">
      <c r="A24" s="3">
        <v>10</v>
      </c>
      <c r="B24" s="4">
        <v>2</v>
      </c>
      <c r="C24" s="4">
        <v>4</v>
      </c>
      <c r="D24" s="4">
        <v>2</v>
      </c>
      <c r="E24" s="4">
        <v>2</v>
      </c>
      <c r="F24" s="4">
        <v>4</v>
      </c>
      <c r="G24" s="12">
        <f t="shared" si="8"/>
        <v>-0.73983003781171586</v>
      </c>
      <c r="H24" s="12">
        <f t="shared" si="9"/>
        <v>0.65279120983386685</v>
      </c>
      <c r="I24" s="12">
        <f t="shared" si="10"/>
        <v>-0.73983003781171586</v>
      </c>
      <c r="J24" s="12">
        <f t="shared" si="18"/>
        <v>-0.73983003781171586</v>
      </c>
      <c r="K24" s="12">
        <f t="shared" si="11"/>
        <v>0.65279120983386685</v>
      </c>
      <c r="L24" s="12">
        <f t="shared" si="12"/>
        <v>7.2727272727272725</v>
      </c>
      <c r="M24" s="12">
        <f t="shared" si="13"/>
        <v>0.96969696969696983</v>
      </c>
      <c r="N24" s="12">
        <f t="shared" si="14"/>
        <v>9.212121212121211</v>
      </c>
      <c r="O24" s="12">
        <f t="shared" si="15"/>
        <v>7.2727272727272734</v>
      </c>
      <c r="P24" s="12">
        <f t="shared" si="19"/>
        <v>6.3030303030303036</v>
      </c>
      <c r="Q24" s="12">
        <f t="shared" si="16"/>
        <v>0.96969696969696983</v>
      </c>
      <c r="R24">
        <f t="shared" si="17"/>
        <v>2</v>
      </c>
    </row>
    <row r="25" spans="1:18" x14ac:dyDescent="0.2">
      <c r="A25" s="3">
        <v>11</v>
      </c>
      <c r="B25" s="4">
        <v>1</v>
      </c>
      <c r="C25" s="4">
        <v>5</v>
      </c>
      <c r="D25" s="4">
        <v>5</v>
      </c>
      <c r="E25" s="4">
        <v>4</v>
      </c>
      <c r="F25" s="4">
        <v>5</v>
      </c>
      <c r="G25" s="12">
        <f t="shared" si="8"/>
        <v>-1.4361406616345072</v>
      </c>
      <c r="H25" s="12">
        <f t="shared" si="9"/>
        <v>1.3491018336566583</v>
      </c>
      <c r="I25" s="12">
        <f t="shared" si="10"/>
        <v>1.3491018336566583</v>
      </c>
      <c r="J25" s="12">
        <f t="shared" si="18"/>
        <v>0.65279120983386685</v>
      </c>
      <c r="K25" s="12">
        <f t="shared" si="11"/>
        <v>1.3491018336566583</v>
      </c>
      <c r="L25" s="12">
        <f t="shared" si="12"/>
        <v>0.48484848484848492</v>
      </c>
      <c r="M25" s="12">
        <f t="shared" si="13"/>
        <v>3.8787878787878789</v>
      </c>
      <c r="N25" s="12">
        <f t="shared" si="14"/>
        <v>24.727272727272727</v>
      </c>
      <c r="O25" s="12">
        <f t="shared" si="15"/>
        <v>1.4545454545454546</v>
      </c>
      <c r="P25" s="12">
        <f t="shared" si="19"/>
        <v>13.090909090909092</v>
      </c>
      <c r="Q25" s="12">
        <f t="shared" si="16"/>
        <v>0.48484848484848492</v>
      </c>
      <c r="R25">
        <f t="shared" si="17"/>
        <v>1</v>
      </c>
    </row>
    <row r="26" spans="1:18" x14ac:dyDescent="0.2">
      <c r="A26" s="3">
        <v>12</v>
      </c>
      <c r="B26" s="4">
        <v>2</v>
      </c>
      <c r="C26" s="4">
        <v>5</v>
      </c>
      <c r="D26" s="4">
        <v>4</v>
      </c>
      <c r="E26" s="4">
        <v>5</v>
      </c>
      <c r="F26" s="4">
        <v>5</v>
      </c>
      <c r="G26" s="12">
        <f t="shared" si="8"/>
        <v>-0.73983003781171586</v>
      </c>
      <c r="H26" s="12">
        <f t="shared" si="9"/>
        <v>1.3491018336566583</v>
      </c>
      <c r="I26" s="12">
        <f t="shared" si="10"/>
        <v>0.65279120983386685</v>
      </c>
      <c r="J26" s="12">
        <f t="shared" si="18"/>
        <v>1.3491018336566583</v>
      </c>
      <c r="K26" s="12">
        <f t="shared" si="11"/>
        <v>1.3491018336566583</v>
      </c>
      <c r="L26" s="12">
        <f t="shared" si="12"/>
        <v>1.9393939393939394</v>
      </c>
      <c r="M26" s="12">
        <f t="shared" si="13"/>
        <v>3.393939393939394</v>
      </c>
      <c r="N26" s="12">
        <f t="shared" si="14"/>
        <v>22.303030303030305</v>
      </c>
      <c r="O26" s="12">
        <f t="shared" si="15"/>
        <v>0</v>
      </c>
      <c r="P26" s="12">
        <f t="shared" si="19"/>
        <v>12.606060606060606</v>
      </c>
      <c r="Q26" s="12">
        <f t="shared" si="16"/>
        <v>0</v>
      </c>
      <c r="R26">
        <f t="shared" si="17"/>
        <v>4</v>
      </c>
    </row>
    <row r="27" spans="1:18" x14ac:dyDescent="0.2">
      <c r="A27" s="3">
        <v>13</v>
      </c>
      <c r="B27" s="4">
        <v>3</v>
      </c>
      <c r="C27" s="4">
        <v>4</v>
      </c>
      <c r="D27" s="4">
        <v>3</v>
      </c>
      <c r="E27" s="4">
        <v>3</v>
      </c>
      <c r="F27" s="4">
        <v>5</v>
      </c>
      <c r="G27" s="12">
        <f t="shared" si="8"/>
        <v>-4.3519413988924463E-2</v>
      </c>
      <c r="H27" s="12">
        <f t="shared" si="9"/>
        <v>0.65279120983386685</v>
      </c>
      <c r="I27" s="12">
        <f t="shared" si="10"/>
        <v>-4.3519413988924463E-2</v>
      </c>
      <c r="J27" s="12">
        <f t="shared" si="18"/>
        <v>-4.3519413988924463E-2</v>
      </c>
      <c r="K27" s="12">
        <f t="shared" si="11"/>
        <v>1.3491018336566583</v>
      </c>
      <c r="L27" s="12">
        <f t="shared" si="12"/>
        <v>5.333333333333333</v>
      </c>
      <c r="M27" s="12">
        <f t="shared" si="13"/>
        <v>0.96969696969696983</v>
      </c>
      <c r="N27" s="12">
        <f t="shared" si="14"/>
        <v>12.121212121212121</v>
      </c>
      <c r="O27" s="12">
        <f t="shared" si="15"/>
        <v>3.3939393939393945</v>
      </c>
      <c r="P27" s="12">
        <f t="shared" si="19"/>
        <v>6.3030303030303028</v>
      </c>
      <c r="Q27" s="12">
        <f t="shared" si="16"/>
        <v>0.96969696969696983</v>
      </c>
      <c r="R27">
        <f t="shared" si="17"/>
        <v>2</v>
      </c>
    </row>
    <row r="28" spans="1:18" x14ac:dyDescent="0.2">
      <c r="A28" s="3">
        <v>14</v>
      </c>
      <c r="B28" s="4">
        <v>3</v>
      </c>
      <c r="C28" s="4">
        <v>3</v>
      </c>
      <c r="D28" s="4">
        <v>3</v>
      </c>
      <c r="E28" s="4">
        <v>3</v>
      </c>
      <c r="F28" s="4">
        <v>3</v>
      </c>
      <c r="G28" s="12">
        <f t="shared" si="8"/>
        <v>-4.3519413988924463E-2</v>
      </c>
      <c r="H28" s="12">
        <f t="shared" si="9"/>
        <v>-4.3519413988924463E-2</v>
      </c>
      <c r="I28" s="12">
        <f t="shared" si="10"/>
        <v>-4.3519413988924463E-2</v>
      </c>
      <c r="J28" s="12">
        <f t="shared" si="18"/>
        <v>-4.3519413988924463E-2</v>
      </c>
      <c r="K28" s="12">
        <f t="shared" si="11"/>
        <v>-4.3519413988924463E-2</v>
      </c>
      <c r="L28" s="12">
        <f t="shared" si="12"/>
        <v>6.7878787878787872</v>
      </c>
      <c r="M28" s="12">
        <f t="shared" si="13"/>
        <v>1.4545454545454546</v>
      </c>
      <c r="N28" s="12">
        <f t="shared" si="14"/>
        <v>6.7878787878787872</v>
      </c>
      <c r="O28" s="12">
        <f t="shared" si="15"/>
        <v>6.787878787878789</v>
      </c>
      <c r="P28" s="12">
        <f t="shared" si="19"/>
        <v>1.9393939393939392</v>
      </c>
      <c r="Q28" s="12">
        <f t="shared" si="16"/>
        <v>1.4545454545454546</v>
      </c>
      <c r="R28">
        <f t="shared" si="17"/>
        <v>2</v>
      </c>
    </row>
    <row r="29" spans="1:18" x14ac:dyDescent="0.2">
      <c r="A29" s="3">
        <v>15</v>
      </c>
      <c r="B29" s="4">
        <v>3</v>
      </c>
      <c r="C29" s="4">
        <v>2</v>
      </c>
      <c r="D29" s="4">
        <v>5</v>
      </c>
      <c r="E29" s="4">
        <v>2</v>
      </c>
      <c r="F29" s="4">
        <v>2</v>
      </c>
      <c r="G29" s="12">
        <f t="shared" si="8"/>
        <v>-4.3519413988924463E-2</v>
      </c>
      <c r="H29" s="12">
        <f t="shared" si="9"/>
        <v>-0.73983003781171586</v>
      </c>
      <c r="I29" s="12">
        <f t="shared" si="10"/>
        <v>1.3491018336566583</v>
      </c>
      <c r="J29" s="12">
        <f t="shared" si="18"/>
        <v>-0.73983003781171586</v>
      </c>
      <c r="K29" s="12">
        <f t="shared" si="11"/>
        <v>-0.73983003781171586</v>
      </c>
      <c r="L29" s="12">
        <f t="shared" si="12"/>
        <v>10.181818181818182</v>
      </c>
      <c r="M29" s="12">
        <f t="shared" si="13"/>
        <v>6.787878787878789</v>
      </c>
      <c r="N29" s="12">
        <f t="shared" si="14"/>
        <v>9.212121212121211</v>
      </c>
      <c r="O29" s="12">
        <f t="shared" si="15"/>
        <v>14.060606060606061</v>
      </c>
      <c r="P29" s="12">
        <f t="shared" si="19"/>
        <v>1.4545454545454546</v>
      </c>
      <c r="Q29" s="12">
        <f t="shared" si="16"/>
        <v>1.4545454545454546</v>
      </c>
      <c r="R29">
        <f t="shared" si="17"/>
        <v>5</v>
      </c>
    </row>
    <row r="30" spans="1:18" x14ac:dyDescent="0.2">
      <c r="A30" s="3">
        <v>16</v>
      </c>
      <c r="B30" s="4">
        <v>2</v>
      </c>
      <c r="C30" s="4">
        <v>4</v>
      </c>
      <c r="D30" s="4">
        <v>3</v>
      </c>
      <c r="E30" s="4">
        <v>3</v>
      </c>
      <c r="F30" s="4">
        <v>4</v>
      </c>
      <c r="G30" s="12">
        <f t="shared" si="8"/>
        <v>-0.73983003781171586</v>
      </c>
      <c r="H30" s="12">
        <f t="shared" si="9"/>
        <v>0.65279120983386685</v>
      </c>
      <c r="I30" s="12">
        <f t="shared" si="10"/>
        <v>-4.3519413988924463E-2</v>
      </c>
      <c r="J30" s="12">
        <f t="shared" si="18"/>
        <v>-4.3519413988924463E-2</v>
      </c>
      <c r="K30" s="12">
        <f t="shared" si="11"/>
        <v>0.65279120983386685</v>
      </c>
      <c r="L30" s="12">
        <f t="shared" si="12"/>
        <v>3.393939393939394</v>
      </c>
      <c r="M30" s="12">
        <f t="shared" si="13"/>
        <v>0</v>
      </c>
      <c r="N30" s="12">
        <f t="shared" si="14"/>
        <v>11.15151515151515</v>
      </c>
      <c r="O30" s="12">
        <f t="shared" si="15"/>
        <v>3.393939393939394</v>
      </c>
      <c r="P30" s="12">
        <f t="shared" si="19"/>
        <v>5.3333333333333339</v>
      </c>
      <c r="Q30" s="12">
        <f t="shared" si="16"/>
        <v>0</v>
      </c>
      <c r="R30">
        <f t="shared" si="17"/>
        <v>2</v>
      </c>
    </row>
    <row r="31" spans="1:18" x14ac:dyDescent="0.2">
      <c r="B31" s="4"/>
    </row>
  </sheetData>
  <sortState xmlns:xlrd2="http://schemas.microsoft.com/office/spreadsheetml/2017/richdata2" ref="A15:F30">
    <sortCondition ref="A15"/>
  </sortState>
  <mergeCells count="2">
    <mergeCell ref="B13:F13"/>
    <mergeCell ref="X4:AD4"/>
  </mergeCells>
  <phoneticPr fontId="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A5BF2-C797-BF44-8C61-6D4DA1AFD19F}">
  <dimension ref="A1:AD31"/>
  <sheetViews>
    <sheetView topLeftCell="H5" workbookViewId="0">
      <selection activeCell="N34" sqref="N34"/>
    </sheetView>
  </sheetViews>
  <sheetFormatPr baseColWidth="10" defaultColWidth="8.83203125" defaultRowHeight="15" x14ac:dyDescent="0.2"/>
  <cols>
    <col min="1" max="1" width="10.1640625" customWidth="1"/>
    <col min="3" max="5" width="9.6640625" bestFit="1" customWidth="1"/>
    <col min="6" max="6" width="10.33203125" customWidth="1"/>
    <col min="7" max="7" width="10.33203125" bestFit="1" customWidth="1"/>
    <col min="8" max="8" width="10.1640625" bestFit="1" customWidth="1"/>
    <col min="9" max="9" width="11.33203125" customWidth="1"/>
    <col min="10" max="10" width="10.1640625" bestFit="1" customWidth="1"/>
    <col min="11" max="11" width="9.5" customWidth="1"/>
    <col min="15" max="15" width="10.6640625" bestFit="1" customWidth="1"/>
    <col min="16" max="16" width="9.6640625" bestFit="1" customWidth="1"/>
    <col min="17" max="20" width="10.1640625" bestFit="1" customWidth="1"/>
    <col min="25" max="25" width="13.6640625" customWidth="1"/>
    <col min="26" max="26" width="12.6640625" customWidth="1"/>
  </cols>
  <sheetData>
    <row r="1" spans="1:30" x14ac:dyDescent="0.2">
      <c r="A1" s="1" t="s">
        <v>7</v>
      </c>
    </row>
    <row r="2" spans="1:30" x14ac:dyDescent="0.2">
      <c r="A2" s="1" t="s">
        <v>18</v>
      </c>
    </row>
    <row r="3" spans="1:30" ht="16" thickBot="1" x14ac:dyDescent="0.25">
      <c r="A3" s="1" t="s">
        <v>17</v>
      </c>
      <c r="P3">
        <v>7</v>
      </c>
      <c r="Q3">
        <v>8</v>
      </c>
      <c r="R3">
        <v>9</v>
      </c>
      <c r="S3">
        <v>10</v>
      </c>
      <c r="T3">
        <v>11</v>
      </c>
    </row>
    <row r="4" spans="1:30" ht="26" customHeight="1" thickBot="1" x14ac:dyDescent="0.25">
      <c r="A4" s="1" t="s">
        <v>15</v>
      </c>
      <c r="N4" s="18" t="s">
        <v>21</v>
      </c>
      <c r="O4" s="18" t="s">
        <v>22</v>
      </c>
      <c r="P4" s="10" t="s">
        <v>33</v>
      </c>
      <c r="Q4" s="10" t="s">
        <v>34</v>
      </c>
      <c r="R4" s="10" t="s">
        <v>35</v>
      </c>
      <c r="S4" s="10" t="s">
        <v>36</v>
      </c>
      <c r="T4" s="10" t="s">
        <v>37</v>
      </c>
      <c r="X4" s="19" t="s">
        <v>32</v>
      </c>
      <c r="Y4" s="19"/>
      <c r="Z4" s="19"/>
      <c r="AA4" s="19"/>
      <c r="AB4" s="19"/>
      <c r="AC4" s="19"/>
      <c r="AD4" s="19"/>
    </row>
    <row r="5" spans="1:30" ht="24" customHeight="1" thickBot="1" x14ac:dyDescent="0.25">
      <c r="N5">
        <v>1</v>
      </c>
      <c r="O5" s="8">
        <v>16</v>
      </c>
      <c r="P5" s="12">
        <f>VLOOKUP($O5,$A$15:$K$30,P$3)</f>
        <v>-0.73983003781171586</v>
      </c>
      <c r="Q5" s="12">
        <f t="shared" ref="Q5:T8" si="0">VLOOKUP($O5,$A$15:$K$30,Q$3)</f>
        <v>0.65279120983386685</v>
      </c>
      <c r="R5" s="12">
        <f t="shared" si="0"/>
        <v>-4.3519413988924463E-2</v>
      </c>
      <c r="S5" s="12">
        <f t="shared" si="0"/>
        <v>-4.3519413988924463E-2</v>
      </c>
      <c r="T5" s="12">
        <f t="shared" si="0"/>
        <v>0.65279120983386685</v>
      </c>
      <c r="X5" s="18" t="s">
        <v>21</v>
      </c>
      <c r="Y5" s="18" t="s">
        <v>31</v>
      </c>
      <c r="Z5" s="17" t="s">
        <v>33</v>
      </c>
      <c r="AA5" s="17" t="s">
        <v>34</v>
      </c>
      <c r="AB5" s="17" t="s">
        <v>35</v>
      </c>
      <c r="AC5" s="17" t="s">
        <v>36</v>
      </c>
      <c r="AD5" s="17" t="s">
        <v>37</v>
      </c>
    </row>
    <row r="6" spans="1:30" ht="24" customHeight="1" thickBot="1" x14ac:dyDescent="0.25">
      <c r="N6">
        <v>2</v>
      </c>
      <c r="O6" s="8">
        <v>9.8894540182731383</v>
      </c>
      <c r="P6" s="12">
        <f>VLOOKUP($O6,$A$15:$K$30,P$3)</f>
        <v>-1.4361406616345072</v>
      </c>
      <c r="Q6" s="12">
        <f>VLOOKUP($O6,$A$15:$K$30,Q$3)</f>
        <v>1.3491018336566583</v>
      </c>
      <c r="R6" s="12">
        <f t="shared" si="0"/>
        <v>0.65279120983386685</v>
      </c>
      <c r="S6" s="12">
        <f t="shared" si="0"/>
        <v>1.3491018336566583</v>
      </c>
      <c r="T6" s="12">
        <f>VLOOKUP($O6,$A$15:$K$30,T$3)</f>
        <v>1.3491018336566583</v>
      </c>
      <c r="X6">
        <v>1</v>
      </c>
      <c r="Y6">
        <f>COUNTIF($Q$15:$Q$30,X6)</f>
        <v>4</v>
      </c>
      <c r="Z6" s="12">
        <f>AVERAGEIF($Q$15:$Q$30,X6,$B$15:$B$30)</f>
        <v>2.5</v>
      </c>
      <c r="AA6" s="12">
        <f>AVERAGEIF($Q$15:$Q$30,X6,$H$15:$H$30)</f>
        <v>0.478713553878169</v>
      </c>
      <c r="AB6" s="12">
        <f>AVERAGEIF($Q$15:$Q$30,X6,$I$15:$I$30)</f>
        <v>-0.2175970699446223</v>
      </c>
      <c r="AC6" s="8">
        <f>AVERAGEIF($Q$15:$Q$30,X6,$E$15:$E$30)</f>
        <v>2.75</v>
      </c>
      <c r="AD6" s="8">
        <f>AVERAGEIF($Q$15:$Q$30,X6,$F$15:$F$30)</f>
        <v>4</v>
      </c>
    </row>
    <row r="7" spans="1:30" ht="26" customHeight="1" thickBot="1" x14ac:dyDescent="0.25">
      <c r="B7" s="20"/>
      <c r="C7" s="9" t="s">
        <v>2</v>
      </c>
      <c r="D7" s="10" t="s">
        <v>3</v>
      </c>
      <c r="E7" s="10" t="s">
        <v>4</v>
      </c>
      <c r="F7" s="10" t="s">
        <v>5</v>
      </c>
      <c r="G7" s="11" t="s">
        <v>6</v>
      </c>
      <c r="N7">
        <v>3</v>
      </c>
      <c r="O7" s="8">
        <v>8.2721882361323509</v>
      </c>
      <c r="P7" s="12">
        <f t="shared" ref="P7:P8" si="1">VLOOKUP($O7,$A$15:$K$30,P$3)</f>
        <v>0.65279120983386685</v>
      </c>
      <c r="Q7" s="12">
        <f t="shared" si="0"/>
        <v>-4.3519413988924463E-2</v>
      </c>
      <c r="R7" s="12">
        <f t="shared" si="0"/>
        <v>0.65279120983386685</v>
      </c>
      <c r="S7" s="12">
        <f t="shared" si="0"/>
        <v>-0.73983003781171586</v>
      </c>
      <c r="T7" s="12">
        <f t="shared" si="0"/>
        <v>-0.73983003781171586</v>
      </c>
      <c r="X7">
        <v>2</v>
      </c>
      <c r="Y7">
        <f>COUNTIF($Q$15:$Q$30,X7)</f>
        <v>4</v>
      </c>
      <c r="Z7" s="12">
        <f>AVERAGEIF($Q$15:$Q$30,X7,$B$15:$B$30)</f>
        <v>1.25</v>
      </c>
      <c r="AA7" s="12">
        <f>AVERAGEIF($Q$15:$Q$30,X7,$H$15:$H$30)</f>
        <v>1.3491018336566583</v>
      </c>
      <c r="AB7" s="12">
        <f>AVERAGEIF($Q$15:$Q$30,X7,$I$15:$I$30)</f>
        <v>1.0009465217452624</v>
      </c>
      <c r="AC7" s="8">
        <f>AVERAGEIF($Q$15:$Q$30,X7,$E$15:$E$30)</f>
        <v>4.5</v>
      </c>
      <c r="AD7" s="8">
        <f>AVERAGEIF($Q$15:$Q$30,X7,$F$15:$F$30)</f>
        <v>4.75</v>
      </c>
    </row>
    <row r="8" spans="1:30" x14ac:dyDescent="0.2">
      <c r="B8" s="20" t="s">
        <v>19</v>
      </c>
      <c r="C8" s="8">
        <f xml:space="preserve"> AVERAGE(B15:B30)</f>
        <v>3.0625</v>
      </c>
      <c r="D8" s="8">
        <f>AVERAGE(C15:C30)</f>
        <v>4</v>
      </c>
      <c r="E8" s="8">
        <f>AVERAGE(D15:D30)</f>
        <v>3.25</v>
      </c>
      <c r="F8" s="8">
        <f>AVERAGE(E15:E30)</f>
        <v>2.75</v>
      </c>
      <c r="G8" s="8">
        <f>AVERAGE(F15:F30)</f>
        <v>3</v>
      </c>
      <c r="N8">
        <v>4</v>
      </c>
      <c r="O8" s="8">
        <v>3.2299018722166783</v>
      </c>
      <c r="P8" s="12">
        <f t="shared" si="1"/>
        <v>1.3491018336566583</v>
      </c>
      <c r="Q8" s="12">
        <f t="shared" si="0"/>
        <v>0.65279120983386685</v>
      </c>
      <c r="R8" s="12">
        <f t="shared" si="0"/>
        <v>-0.73983003781171586</v>
      </c>
      <c r="S8" s="12">
        <f t="shared" si="0"/>
        <v>-1.4361406616345072</v>
      </c>
      <c r="T8" s="12">
        <f t="shared" si="0"/>
        <v>-1.4361406616345072</v>
      </c>
      <c r="X8">
        <v>3</v>
      </c>
      <c r="Y8">
        <f>COUNTIF($Q$15:$Q$30,X8)</f>
        <v>4</v>
      </c>
      <c r="Z8" s="12">
        <f>AVERAGEIF($Q$15:$Q$30,X8,$B$15:$B$30)</f>
        <v>3.75</v>
      </c>
      <c r="AA8" s="12">
        <f>AVERAGEIF($Q$15:$Q$30,X8,$H$15:$H$30)</f>
        <v>-4.3519413988924477E-2</v>
      </c>
      <c r="AB8" s="12">
        <f>AVERAGEIF($Q$15:$Q$30,X8,$I$15:$I$30)</f>
        <v>0.82686886578956464</v>
      </c>
      <c r="AC8" s="8">
        <f>AVERAGEIF($Q$15:$Q$30,X8,$E$15:$E$30)</f>
        <v>2.5</v>
      </c>
      <c r="AD8" s="8">
        <f>AVERAGEIF($Q$15:$Q$30,X8,$F$15:$F$30)</f>
        <v>2.25</v>
      </c>
    </row>
    <row r="9" spans="1:30" x14ac:dyDescent="0.2">
      <c r="B9" s="20" t="s">
        <v>20</v>
      </c>
      <c r="C9" s="12">
        <f>STDEV(B15:B30)</f>
        <v>1.4361406616345072</v>
      </c>
      <c r="D9" s="12">
        <f t="shared" ref="D9:G9" si="2">STDEV(C15:C30)</f>
        <v>0.89442719099991586</v>
      </c>
      <c r="E9" s="12">
        <f t="shared" si="2"/>
        <v>1.3416407864998738</v>
      </c>
      <c r="F9" s="12">
        <f t="shared" si="2"/>
        <v>1.2909944487358056</v>
      </c>
      <c r="G9" s="12">
        <f t="shared" si="2"/>
        <v>1.5916448515084429</v>
      </c>
      <c r="P9" s="12"/>
      <c r="Q9" s="12"/>
      <c r="R9" s="12"/>
      <c r="S9" s="12"/>
      <c r="T9" s="12"/>
      <c r="X9">
        <v>4</v>
      </c>
      <c r="Y9">
        <f>COUNTIF($Q$15:$Q$30,X9)</f>
        <v>4</v>
      </c>
      <c r="Z9" s="12">
        <f>AVERAGEIF($Q$15:$Q$30,X9,$B$15:$B$30)</f>
        <v>4.75</v>
      </c>
      <c r="AA9" s="12">
        <f>AVERAGEIF($Q$15:$Q$30,X9,$H$15:$H$30)</f>
        <v>0.82686886578956476</v>
      </c>
      <c r="AB9" s="12">
        <f>AVERAGEIF($Q$15:$Q$30,X9,$I$15:$I$30)</f>
        <v>-1.0879853497231116</v>
      </c>
      <c r="AC9" s="8">
        <f>AVERAGEIF($Q$15:$Q$30,X9,$E$15:$E$30)</f>
        <v>1.25</v>
      </c>
      <c r="AD9" s="8">
        <f>AVERAGEIF($Q$15:$Q$30,X9,$F$15:$F$30)</f>
        <v>1</v>
      </c>
    </row>
    <row r="12" spans="1:30" x14ac:dyDescent="0.2">
      <c r="R12" s="15" t="s">
        <v>30</v>
      </c>
      <c r="S12" s="16">
        <f>SUM(P15:P30)</f>
        <v>12.121212121212123</v>
      </c>
    </row>
    <row r="13" spans="1:30" ht="16" thickBot="1" x14ac:dyDescent="0.25">
      <c r="B13" s="7" t="s">
        <v>0</v>
      </c>
      <c r="C13" s="7"/>
      <c r="D13" s="7"/>
      <c r="E13" s="7"/>
      <c r="F13" s="7"/>
    </row>
    <row r="14" spans="1:30" ht="43" thickBot="1" x14ac:dyDescent="0.25">
      <c r="A14" s="2" t="s">
        <v>1</v>
      </c>
      <c r="B14" s="2" t="s">
        <v>2</v>
      </c>
      <c r="C14" s="2" t="s">
        <v>3</v>
      </c>
      <c r="D14" s="2" t="s">
        <v>4</v>
      </c>
      <c r="E14" s="2" t="s">
        <v>5</v>
      </c>
      <c r="F14" s="2" t="s">
        <v>6</v>
      </c>
      <c r="G14" s="10" t="s">
        <v>33</v>
      </c>
      <c r="H14" s="10" t="s">
        <v>34</v>
      </c>
      <c r="I14" s="10" t="s">
        <v>35</v>
      </c>
      <c r="J14" s="10" t="s">
        <v>36</v>
      </c>
      <c r="K14" s="10" t="s">
        <v>37</v>
      </c>
      <c r="L14" s="13" t="s">
        <v>23</v>
      </c>
      <c r="M14" s="13" t="s">
        <v>24</v>
      </c>
      <c r="N14" s="13" t="s">
        <v>25</v>
      </c>
      <c r="O14" s="13" t="s">
        <v>26</v>
      </c>
      <c r="P14" s="13" t="s">
        <v>28</v>
      </c>
      <c r="Q14" s="14" t="s">
        <v>29</v>
      </c>
    </row>
    <row r="15" spans="1:30" x14ac:dyDescent="0.2">
      <c r="A15" s="3">
        <v>1</v>
      </c>
      <c r="B15" s="4">
        <v>5</v>
      </c>
      <c r="C15" s="4">
        <v>4</v>
      </c>
      <c r="D15" s="4">
        <v>1</v>
      </c>
      <c r="E15" s="4">
        <v>2</v>
      </c>
      <c r="F15" s="4">
        <v>1</v>
      </c>
      <c r="G15" s="12">
        <f>STANDARDIZE(B15,$C$8,$C$9)</f>
        <v>1.3491018336566583</v>
      </c>
      <c r="H15" s="12">
        <f>STANDARDIZE(C15,$C$8,$C$9)</f>
        <v>0.65279120983386685</v>
      </c>
      <c r="I15" s="12">
        <f>STANDARDIZE(D15,$C$8,$C$9)</f>
        <v>-1.4361406616345072</v>
      </c>
      <c r="J15" s="12">
        <f>STANDARDIZE(E15,$C$8,$C$9)</f>
        <v>-0.73983003781171586</v>
      </c>
      <c r="K15" s="12">
        <f>STANDARDIZE(F15,$C$8,$C$9)</f>
        <v>-1.4361406616345072</v>
      </c>
      <c r="L15" s="12">
        <f>SUMXMY2($P$5:$T$5, $G15:$K15)</f>
        <v>11.151515151515152</v>
      </c>
      <c r="M15" s="12">
        <f>SUMXMY2($P$6:$T$6, $G15:$K15)</f>
        <v>24.727272727272727</v>
      </c>
      <c r="N15" s="12">
        <f>SUMXMY2($P$7:$T$7, $G15:$K15)</f>
        <v>5.8181818181818175</v>
      </c>
      <c r="O15" s="12">
        <f>SUMXMY2($P$8:$T$8, $G15:$K15)</f>
        <v>0.9696969696969695</v>
      </c>
      <c r="P15" s="12">
        <f>MIN(L15:O15)</f>
        <v>0.9696969696969695</v>
      </c>
      <c r="Q15">
        <f>MATCH(P15,L15:O15,0)</f>
        <v>4</v>
      </c>
    </row>
    <row r="16" spans="1:30" x14ac:dyDescent="0.2">
      <c r="A16" s="3">
        <v>2</v>
      </c>
      <c r="B16" s="4">
        <v>4</v>
      </c>
      <c r="C16" s="4">
        <v>3</v>
      </c>
      <c r="D16" s="4">
        <v>4</v>
      </c>
      <c r="E16" s="4">
        <v>3</v>
      </c>
      <c r="F16" s="4">
        <v>2</v>
      </c>
      <c r="G16" s="12">
        <f>STANDARDIZE(B16,$C$8,$C$9)</f>
        <v>0.65279120983386685</v>
      </c>
      <c r="H16" s="12">
        <f t="shared" ref="G16:J30" si="3">STANDARDIZE(C16,$C$8,$C$9)</f>
        <v>-4.3519413988924463E-2</v>
      </c>
      <c r="I16" s="12">
        <f>STANDARDIZE(D16,$C$8,$C$9)</f>
        <v>0.65279120983386685</v>
      </c>
      <c r="J16" s="12">
        <f>STANDARDIZE(E16,$C$8,$C$9)</f>
        <v>-4.3519413988924463E-2</v>
      </c>
      <c r="K16" s="12">
        <f t="shared" ref="K16:K30" si="4">STANDARDIZE(F16,$C$8,$C$9)</f>
        <v>-0.73983003781171586</v>
      </c>
      <c r="L16" s="12">
        <f t="shared" ref="L16:L30" si="5">SUMXMY2($P$5:$T$5, $G16:$K16)</f>
        <v>4.8484848484848486</v>
      </c>
      <c r="M16" s="12">
        <f t="shared" ref="M16:M30" si="6">SUMXMY2($P$6:$T$6, $G16:$K16)</f>
        <v>12.606060606060606</v>
      </c>
      <c r="N16" s="12">
        <f t="shared" ref="N16:N30" si="7">SUMXMY2($P$7:$T$7, $G16:$K16)</f>
        <v>0.48484848484848492</v>
      </c>
      <c r="O16" s="12">
        <f t="shared" ref="O16:O30" si="8">SUMXMY2($P$8:$T$8, $G16:$K16)</f>
        <v>5.3333333333333321</v>
      </c>
      <c r="P16" s="12">
        <f>MIN(L16:O16)</f>
        <v>0.48484848484848492</v>
      </c>
      <c r="Q16">
        <f>MATCH(P16,L16:O16,0)</f>
        <v>3</v>
      </c>
    </row>
    <row r="17" spans="1:17" x14ac:dyDescent="0.2">
      <c r="A17" s="3">
        <v>3</v>
      </c>
      <c r="B17" s="4">
        <v>5</v>
      </c>
      <c r="C17" s="4">
        <v>4</v>
      </c>
      <c r="D17" s="4">
        <v>2</v>
      </c>
      <c r="E17" s="4">
        <v>1</v>
      </c>
      <c r="F17" s="4">
        <v>1</v>
      </c>
      <c r="G17" s="12">
        <f t="shared" si="3"/>
        <v>1.3491018336566583</v>
      </c>
      <c r="H17" s="12">
        <f t="shared" si="3"/>
        <v>0.65279120983386685</v>
      </c>
      <c r="I17" s="12">
        <f t="shared" si="3"/>
        <v>-0.73983003781171586</v>
      </c>
      <c r="J17" s="12">
        <f t="shared" si="3"/>
        <v>-1.4361406616345072</v>
      </c>
      <c r="K17" s="12">
        <f t="shared" si="4"/>
        <v>-1.4361406616345072</v>
      </c>
      <c r="L17" s="12">
        <f t="shared" si="5"/>
        <v>11.15151515151515</v>
      </c>
      <c r="M17" s="12">
        <f t="shared" si="6"/>
        <v>25.696969696969699</v>
      </c>
      <c r="N17" s="12">
        <f t="shared" si="7"/>
        <v>3.8787878787878789</v>
      </c>
      <c r="O17" s="12">
        <f t="shared" si="8"/>
        <v>0</v>
      </c>
      <c r="P17" s="12">
        <f>MIN(L17:O17)</f>
        <v>0</v>
      </c>
      <c r="Q17">
        <f>MATCH(P17,L17:O17,0)</f>
        <v>4</v>
      </c>
    </row>
    <row r="18" spans="1:17" x14ac:dyDescent="0.2">
      <c r="A18" s="3">
        <v>4</v>
      </c>
      <c r="B18" s="4">
        <v>5</v>
      </c>
      <c r="C18" s="4">
        <v>5</v>
      </c>
      <c r="D18" s="4">
        <v>2</v>
      </c>
      <c r="E18" s="4">
        <v>1</v>
      </c>
      <c r="F18" s="4">
        <v>1</v>
      </c>
      <c r="G18" s="12">
        <f t="shared" si="3"/>
        <v>1.3491018336566583</v>
      </c>
      <c r="H18" s="12">
        <f t="shared" si="3"/>
        <v>1.3491018336566583</v>
      </c>
      <c r="I18" s="12">
        <f t="shared" si="3"/>
        <v>-0.73983003781171586</v>
      </c>
      <c r="J18" s="12">
        <f t="shared" si="3"/>
        <v>-1.4361406616345072</v>
      </c>
      <c r="K18" s="12">
        <f t="shared" si="4"/>
        <v>-1.4361406616345072</v>
      </c>
      <c r="L18" s="12">
        <f t="shared" si="5"/>
        <v>11.636363636363637</v>
      </c>
      <c r="M18" s="12">
        <f t="shared" si="6"/>
        <v>25.212121212121215</v>
      </c>
      <c r="N18" s="12">
        <f t="shared" si="7"/>
        <v>5.333333333333333</v>
      </c>
      <c r="O18" s="12">
        <f t="shared" si="8"/>
        <v>0.48484848484848492</v>
      </c>
      <c r="P18" s="12">
        <f>MIN(L18:O18)</f>
        <v>0.48484848484848492</v>
      </c>
      <c r="Q18">
        <f>MATCH(P18,L18:O18,0)</f>
        <v>4</v>
      </c>
    </row>
    <row r="19" spans="1:17" x14ac:dyDescent="0.2">
      <c r="A19" s="3">
        <v>5</v>
      </c>
      <c r="B19" s="4">
        <v>4</v>
      </c>
      <c r="C19" s="4">
        <v>4</v>
      </c>
      <c r="D19" s="4">
        <v>1</v>
      </c>
      <c r="E19" s="4">
        <v>1</v>
      </c>
      <c r="F19" s="4">
        <v>1</v>
      </c>
      <c r="G19" s="12">
        <f t="shared" si="3"/>
        <v>0.65279120983386685</v>
      </c>
      <c r="H19" s="12">
        <f t="shared" si="3"/>
        <v>0.65279120983386685</v>
      </c>
      <c r="I19" s="12">
        <f t="shared" si="3"/>
        <v>-1.4361406616345072</v>
      </c>
      <c r="J19" s="12">
        <f t="shared" si="3"/>
        <v>-1.4361406616345072</v>
      </c>
      <c r="K19" s="12">
        <f t="shared" si="4"/>
        <v>-1.4361406616345072</v>
      </c>
      <c r="L19" s="12">
        <f t="shared" si="5"/>
        <v>10.181818181818182</v>
      </c>
      <c r="M19" s="12">
        <f t="shared" si="6"/>
        <v>24.727272727272727</v>
      </c>
      <c r="N19" s="12">
        <f t="shared" si="7"/>
        <v>5.8181818181818166</v>
      </c>
      <c r="O19" s="12">
        <f t="shared" si="8"/>
        <v>0.96969696969696972</v>
      </c>
      <c r="P19" s="12">
        <f>MIN(L19:O19)</f>
        <v>0.96969696969696972</v>
      </c>
      <c r="Q19">
        <f>MATCH(P19,L19:O19,0)</f>
        <v>4</v>
      </c>
    </row>
    <row r="20" spans="1:17" x14ac:dyDescent="0.2">
      <c r="A20" s="3">
        <v>6</v>
      </c>
      <c r="B20" s="4">
        <v>1</v>
      </c>
      <c r="C20" s="4">
        <v>5</v>
      </c>
      <c r="D20" s="4">
        <v>5</v>
      </c>
      <c r="E20" s="4">
        <v>4</v>
      </c>
      <c r="F20" s="4">
        <v>4</v>
      </c>
      <c r="G20" s="12">
        <f t="shared" si="3"/>
        <v>-1.4361406616345072</v>
      </c>
      <c r="H20" s="12">
        <f t="shared" si="3"/>
        <v>1.3491018336566583</v>
      </c>
      <c r="I20" s="12">
        <f t="shared" si="3"/>
        <v>1.3491018336566583</v>
      </c>
      <c r="J20" s="12">
        <f t="shared" si="3"/>
        <v>0.65279120983386685</v>
      </c>
      <c r="K20" s="12">
        <f t="shared" si="4"/>
        <v>0.65279120983386685</v>
      </c>
      <c r="L20" s="12">
        <f t="shared" si="5"/>
        <v>3.393939393939394</v>
      </c>
      <c r="M20" s="12">
        <f t="shared" si="6"/>
        <v>1.4545454545454548</v>
      </c>
      <c r="N20" s="12">
        <f t="shared" si="7"/>
        <v>10.666666666666668</v>
      </c>
      <c r="O20" s="12">
        <f t="shared" si="8"/>
        <v>21.333333333333332</v>
      </c>
      <c r="P20" s="12">
        <f>MIN(L20:O20)</f>
        <v>1.4545454545454548</v>
      </c>
      <c r="Q20">
        <f>MATCH(P20,L20:O20,0)</f>
        <v>2</v>
      </c>
    </row>
    <row r="21" spans="1:17" x14ac:dyDescent="0.2">
      <c r="A21" s="3">
        <v>7</v>
      </c>
      <c r="B21" s="4">
        <v>4</v>
      </c>
      <c r="C21" s="4">
        <v>4</v>
      </c>
      <c r="D21" s="4">
        <v>4</v>
      </c>
      <c r="E21" s="4">
        <v>3</v>
      </c>
      <c r="F21" s="4">
        <v>3</v>
      </c>
      <c r="G21" s="12">
        <f t="shared" si="3"/>
        <v>0.65279120983386685</v>
      </c>
      <c r="H21" s="12">
        <f t="shared" si="3"/>
        <v>0.65279120983386685</v>
      </c>
      <c r="I21" s="12">
        <f t="shared" si="3"/>
        <v>0.65279120983386685</v>
      </c>
      <c r="J21" s="12">
        <f t="shared" si="3"/>
        <v>-4.3519413988924463E-2</v>
      </c>
      <c r="K21" s="12">
        <f t="shared" si="4"/>
        <v>-4.3519413988924463E-2</v>
      </c>
      <c r="L21" s="12">
        <f t="shared" si="5"/>
        <v>2.9090909090909092</v>
      </c>
      <c r="M21" s="12">
        <f t="shared" si="6"/>
        <v>8.7272727272727284</v>
      </c>
      <c r="N21" s="12">
        <f t="shared" si="7"/>
        <v>1.4545454545454546</v>
      </c>
      <c r="O21" s="12">
        <f t="shared" si="8"/>
        <v>6.3030303030303028</v>
      </c>
      <c r="P21" s="12">
        <f>MIN(L21:O21)</f>
        <v>1.4545454545454546</v>
      </c>
      <c r="Q21">
        <f>MATCH(P21,L21:O21,0)</f>
        <v>3</v>
      </c>
    </row>
    <row r="22" spans="1:17" x14ac:dyDescent="0.2">
      <c r="A22" s="3">
        <v>8</v>
      </c>
      <c r="B22" s="4">
        <v>4</v>
      </c>
      <c r="C22" s="4">
        <v>3</v>
      </c>
      <c r="D22" s="4">
        <v>4</v>
      </c>
      <c r="E22" s="4">
        <v>2</v>
      </c>
      <c r="F22" s="4">
        <v>2</v>
      </c>
      <c r="G22" s="12">
        <f t="shared" si="3"/>
        <v>0.65279120983386685</v>
      </c>
      <c r="H22" s="12">
        <f t="shared" si="3"/>
        <v>-4.3519413988924463E-2</v>
      </c>
      <c r="I22" s="12">
        <f t="shared" si="3"/>
        <v>0.65279120983386685</v>
      </c>
      <c r="J22" s="12">
        <f t="shared" si="3"/>
        <v>-0.73983003781171586</v>
      </c>
      <c r="K22" s="12">
        <f t="shared" si="4"/>
        <v>-0.73983003781171586</v>
      </c>
      <c r="L22" s="12">
        <f t="shared" si="5"/>
        <v>5.3333333333333339</v>
      </c>
      <c r="M22" s="12">
        <f t="shared" si="6"/>
        <v>15.030303030303029</v>
      </c>
      <c r="N22" s="12">
        <f t="shared" si="7"/>
        <v>0</v>
      </c>
      <c r="O22" s="12">
        <f t="shared" si="8"/>
        <v>3.8787878787878789</v>
      </c>
      <c r="P22" s="12">
        <f>MIN(L22:O22)</f>
        <v>0</v>
      </c>
      <c r="Q22">
        <f>MATCH(P22,L22:O22,0)</f>
        <v>3</v>
      </c>
    </row>
    <row r="23" spans="1:17" x14ac:dyDescent="0.2">
      <c r="A23" s="3">
        <v>9</v>
      </c>
      <c r="B23" s="4">
        <v>1</v>
      </c>
      <c r="C23" s="4">
        <v>5</v>
      </c>
      <c r="D23" s="4">
        <v>4</v>
      </c>
      <c r="E23" s="4">
        <v>5</v>
      </c>
      <c r="F23" s="4">
        <v>5</v>
      </c>
      <c r="G23" s="12">
        <f t="shared" si="3"/>
        <v>-1.4361406616345072</v>
      </c>
      <c r="H23" s="12">
        <f t="shared" si="3"/>
        <v>1.3491018336566583</v>
      </c>
      <c r="I23" s="12">
        <f t="shared" si="3"/>
        <v>0.65279120983386685</v>
      </c>
      <c r="J23" s="12">
        <f t="shared" si="3"/>
        <v>1.3491018336566583</v>
      </c>
      <c r="K23" s="12">
        <f t="shared" si="4"/>
        <v>1.3491018336566583</v>
      </c>
      <c r="L23" s="12">
        <f t="shared" si="5"/>
        <v>3.8787878787878793</v>
      </c>
      <c r="M23" s="12">
        <f t="shared" si="6"/>
        <v>0</v>
      </c>
      <c r="N23" s="12">
        <f t="shared" si="7"/>
        <v>15.030303030303029</v>
      </c>
      <c r="O23" s="12">
        <f t="shared" si="8"/>
        <v>25.696969696969699</v>
      </c>
      <c r="P23" s="12">
        <f>MIN(L23:O23)</f>
        <v>0</v>
      </c>
      <c r="Q23">
        <f>MATCH(P23,L23:O23,0)</f>
        <v>2</v>
      </c>
    </row>
    <row r="24" spans="1:17" x14ac:dyDescent="0.2">
      <c r="A24" s="3">
        <v>10</v>
      </c>
      <c r="B24" s="4">
        <v>2</v>
      </c>
      <c r="C24" s="4">
        <v>4</v>
      </c>
      <c r="D24" s="4">
        <v>2</v>
      </c>
      <c r="E24" s="4">
        <v>2</v>
      </c>
      <c r="F24" s="4">
        <v>4</v>
      </c>
      <c r="G24" s="12">
        <f t="shared" si="3"/>
        <v>-0.73983003781171586</v>
      </c>
      <c r="H24" s="12">
        <f t="shared" si="3"/>
        <v>0.65279120983386685</v>
      </c>
      <c r="I24" s="12">
        <f t="shared" si="3"/>
        <v>-0.73983003781171586</v>
      </c>
      <c r="J24" s="12">
        <f t="shared" si="3"/>
        <v>-0.73983003781171586</v>
      </c>
      <c r="K24" s="12">
        <f t="shared" si="4"/>
        <v>0.65279120983386685</v>
      </c>
      <c r="L24" s="12">
        <f t="shared" si="5"/>
        <v>0.96969696969696983</v>
      </c>
      <c r="M24" s="12">
        <f t="shared" si="6"/>
        <v>7.7575757575757578</v>
      </c>
      <c r="N24" s="12">
        <f t="shared" si="7"/>
        <v>6.3030303030303036</v>
      </c>
      <c r="O24" s="12">
        <f t="shared" si="8"/>
        <v>9.212121212121211</v>
      </c>
      <c r="P24" s="12">
        <f>MIN(L24:O24)</f>
        <v>0.96969696969696983</v>
      </c>
      <c r="Q24">
        <f>MATCH(P24,L24:O24,0)</f>
        <v>1</v>
      </c>
    </row>
    <row r="25" spans="1:17" x14ac:dyDescent="0.2">
      <c r="A25" s="3">
        <v>11</v>
      </c>
      <c r="B25" s="4">
        <v>1</v>
      </c>
      <c r="C25" s="4">
        <v>5</v>
      </c>
      <c r="D25" s="4">
        <v>5</v>
      </c>
      <c r="E25" s="4">
        <v>4</v>
      </c>
      <c r="F25" s="4">
        <v>5</v>
      </c>
      <c r="G25" s="12">
        <f t="shared" si="3"/>
        <v>-1.4361406616345072</v>
      </c>
      <c r="H25" s="12">
        <f t="shared" si="3"/>
        <v>1.3491018336566583</v>
      </c>
      <c r="I25" s="12">
        <f t="shared" si="3"/>
        <v>1.3491018336566583</v>
      </c>
      <c r="J25" s="12">
        <f t="shared" si="3"/>
        <v>0.65279120983386685</v>
      </c>
      <c r="K25" s="12">
        <f t="shared" si="4"/>
        <v>1.3491018336566583</v>
      </c>
      <c r="L25" s="12">
        <f t="shared" si="5"/>
        <v>3.8787878787878789</v>
      </c>
      <c r="M25" s="12">
        <f t="shared" si="6"/>
        <v>0.96969696969696983</v>
      </c>
      <c r="N25" s="12">
        <f t="shared" si="7"/>
        <v>13.090909090909092</v>
      </c>
      <c r="O25" s="12">
        <f t="shared" si="8"/>
        <v>24.727272727272727</v>
      </c>
      <c r="P25" s="12">
        <f>MIN(L25:O25)</f>
        <v>0.96969696969696983</v>
      </c>
      <c r="Q25">
        <f>MATCH(P25,L25:O25,0)</f>
        <v>2</v>
      </c>
    </row>
    <row r="26" spans="1:17" x14ac:dyDescent="0.2">
      <c r="A26" s="3">
        <v>12</v>
      </c>
      <c r="B26" s="4">
        <v>2</v>
      </c>
      <c r="C26" s="4">
        <v>5</v>
      </c>
      <c r="D26" s="4">
        <v>4</v>
      </c>
      <c r="E26" s="4">
        <v>5</v>
      </c>
      <c r="F26" s="4">
        <v>5</v>
      </c>
      <c r="G26" s="12">
        <f t="shared" si="3"/>
        <v>-0.73983003781171586</v>
      </c>
      <c r="H26" s="12">
        <f t="shared" si="3"/>
        <v>1.3491018336566583</v>
      </c>
      <c r="I26" s="12">
        <f t="shared" si="3"/>
        <v>0.65279120983386685</v>
      </c>
      <c r="J26" s="12">
        <f t="shared" si="3"/>
        <v>1.3491018336566583</v>
      </c>
      <c r="K26" s="12">
        <f t="shared" si="4"/>
        <v>1.3491018336566583</v>
      </c>
      <c r="L26" s="12">
        <f t="shared" si="5"/>
        <v>3.393939393939394</v>
      </c>
      <c r="M26" s="12">
        <f t="shared" si="6"/>
        <v>0.48484848484848475</v>
      </c>
      <c r="N26" s="12">
        <f t="shared" si="7"/>
        <v>12.606060606060606</v>
      </c>
      <c r="O26" s="12">
        <f t="shared" si="8"/>
        <v>22.303030303030305</v>
      </c>
      <c r="P26" s="12">
        <f>MIN(L26:O26)</f>
        <v>0.48484848484848475</v>
      </c>
      <c r="Q26">
        <f>MATCH(P26,L26:O26,0)</f>
        <v>2</v>
      </c>
    </row>
    <row r="27" spans="1:17" x14ac:dyDescent="0.2">
      <c r="A27" s="3">
        <v>13</v>
      </c>
      <c r="B27" s="4">
        <v>3</v>
      </c>
      <c r="C27" s="4">
        <v>4</v>
      </c>
      <c r="D27" s="4">
        <v>3</v>
      </c>
      <c r="E27" s="4">
        <v>3</v>
      </c>
      <c r="F27" s="4">
        <v>5</v>
      </c>
      <c r="G27" s="12">
        <f t="shared" si="3"/>
        <v>-4.3519413988924463E-2</v>
      </c>
      <c r="H27" s="12">
        <f t="shared" si="3"/>
        <v>0.65279120983386685</v>
      </c>
      <c r="I27" s="12">
        <f t="shared" si="3"/>
        <v>-4.3519413988924463E-2</v>
      </c>
      <c r="J27" s="12">
        <f t="shared" si="3"/>
        <v>-4.3519413988924463E-2</v>
      </c>
      <c r="K27" s="12">
        <f t="shared" si="4"/>
        <v>1.3491018336566583</v>
      </c>
      <c r="L27" s="12">
        <f t="shared" si="5"/>
        <v>0.96969696969696983</v>
      </c>
      <c r="M27" s="12">
        <f t="shared" si="6"/>
        <v>4.8484848484848486</v>
      </c>
      <c r="N27" s="12">
        <f t="shared" si="7"/>
        <v>6.3030303030303028</v>
      </c>
      <c r="O27" s="12">
        <f t="shared" si="8"/>
        <v>12.121212121212121</v>
      </c>
      <c r="P27" s="12">
        <f>MIN(L27:O27)</f>
        <v>0.96969696969696983</v>
      </c>
      <c r="Q27">
        <f>MATCH(P27,L27:O27,0)</f>
        <v>1</v>
      </c>
    </row>
    <row r="28" spans="1:17" x14ac:dyDescent="0.2">
      <c r="A28" s="3">
        <v>14</v>
      </c>
      <c r="B28" s="4">
        <v>3</v>
      </c>
      <c r="C28" s="4">
        <v>3</v>
      </c>
      <c r="D28" s="4">
        <v>3</v>
      </c>
      <c r="E28" s="4">
        <v>3</v>
      </c>
      <c r="F28" s="4">
        <v>3</v>
      </c>
      <c r="G28" s="12">
        <f t="shared" si="3"/>
        <v>-4.3519413988924463E-2</v>
      </c>
      <c r="H28" s="12">
        <f t="shared" si="3"/>
        <v>-4.3519413988924463E-2</v>
      </c>
      <c r="I28" s="12">
        <f t="shared" si="3"/>
        <v>-4.3519413988924463E-2</v>
      </c>
      <c r="J28" s="12">
        <f t="shared" si="3"/>
        <v>-4.3519413988924463E-2</v>
      </c>
      <c r="K28" s="12">
        <f t="shared" si="4"/>
        <v>-4.3519413988924463E-2</v>
      </c>
      <c r="L28" s="12">
        <f t="shared" si="5"/>
        <v>1.4545454545454546</v>
      </c>
      <c r="M28" s="12">
        <f t="shared" si="6"/>
        <v>8.2424242424242422</v>
      </c>
      <c r="N28" s="12">
        <f t="shared" si="7"/>
        <v>1.9393939393939392</v>
      </c>
      <c r="O28" s="12">
        <f t="shared" si="8"/>
        <v>6.7878787878787872</v>
      </c>
      <c r="P28" s="12">
        <f>MIN(L28:O28)</f>
        <v>1.4545454545454546</v>
      </c>
      <c r="Q28">
        <f>MATCH(P28,L28:O28,0)</f>
        <v>1</v>
      </c>
    </row>
    <row r="29" spans="1:17" x14ac:dyDescent="0.2">
      <c r="A29" s="3">
        <v>15</v>
      </c>
      <c r="B29" s="4">
        <v>3</v>
      </c>
      <c r="C29" s="4">
        <v>2</v>
      </c>
      <c r="D29" s="4">
        <v>5</v>
      </c>
      <c r="E29" s="4">
        <v>2</v>
      </c>
      <c r="F29" s="4">
        <v>2</v>
      </c>
      <c r="G29" s="12">
        <f t="shared" si="3"/>
        <v>-4.3519413988924463E-2</v>
      </c>
      <c r="H29" s="12">
        <f t="shared" si="3"/>
        <v>-0.73983003781171586</v>
      </c>
      <c r="I29" s="12">
        <f t="shared" si="3"/>
        <v>1.3491018336566583</v>
      </c>
      <c r="J29" s="12">
        <f t="shared" si="3"/>
        <v>-0.73983003781171586</v>
      </c>
      <c r="K29" s="12">
        <f t="shared" si="4"/>
        <v>-0.73983003781171586</v>
      </c>
      <c r="L29" s="12">
        <f t="shared" si="5"/>
        <v>6.787878787878789</v>
      </c>
      <c r="M29" s="12">
        <f t="shared" si="6"/>
        <v>15.515151515151516</v>
      </c>
      <c r="N29" s="12">
        <f t="shared" si="7"/>
        <v>1.4545454545454546</v>
      </c>
      <c r="O29" s="12">
        <f t="shared" si="8"/>
        <v>9.212121212121211</v>
      </c>
      <c r="P29" s="12">
        <f>MIN(L29:O29)</f>
        <v>1.4545454545454546</v>
      </c>
      <c r="Q29">
        <f>MATCH(P29,L29:O29,0)</f>
        <v>3</v>
      </c>
    </row>
    <row r="30" spans="1:17" x14ac:dyDescent="0.2">
      <c r="A30" s="3">
        <v>16</v>
      </c>
      <c r="B30" s="4">
        <v>2</v>
      </c>
      <c r="C30" s="4">
        <v>4</v>
      </c>
      <c r="D30" s="4">
        <v>3</v>
      </c>
      <c r="E30" s="4">
        <v>3</v>
      </c>
      <c r="F30" s="4">
        <v>4</v>
      </c>
      <c r="G30" s="12">
        <f t="shared" si="3"/>
        <v>-0.73983003781171586</v>
      </c>
      <c r="H30" s="12">
        <f t="shared" si="3"/>
        <v>0.65279120983386685</v>
      </c>
      <c r="I30" s="12">
        <f t="shared" si="3"/>
        <v>-4.3519413988924463E-2</v>
      </c>
      <c r="J30" s="12">
        <f t="shared" si="3"/>
        <v>-4.3519413988924463E-2</v>
      </c>
      <c r="K30" s="12">
        <f t="shared" si="4"/>
        <v>0.65279120983386685</v>
      </c>
      <c r="L30" s="12">
        <f t="shared" si="5"/>
        <v>0</v>
      </c>
      <c r="M30" s="12">
        <f t="shared" si="6"/>
        <v>3.8787878787878793</v>
      </c>
      <c r="N30" s="12">
        <f t="shared" si="7"/>
        <v>5.3333333333333339</v>
      </c>
      <c r="O30" s="12">
        <f t="shared" si="8"/>
        <v>11.15151515151515</v>
      </c>
      <c r="P30" s="12">
        <f>MIN(L30:O30)</f>
        <v>0</v>
      </c>
      <c r="Q30">
        <f>MATCH(P30,L30:O30,0)</f>
        <v>1</v>
      </c>
    </row>
    <row r="31" spans="1:17" x14ac:dyDescent="0.2">
      <c r="B31" s="4"/>
    </row>
  </sheetData>
  <mergeCells count="2">
    <mergeCell ref="X4:AD4"/>
    <mergeCell ref="B13:F1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99"/>
  <sheetViews>
    <sheetView tabSelected="1" workbookViewId="0">
      <selection activeCell="Q99" sqref="Q99"/>
    </sheetView>
  </sheetViews>
  <sheetFormatPr baseColWidth="10" defaultColWidth="8.83203125" defaultRowHeight="15" x14ac:dyDescent="0.2"/>
  <cols>
    <col min="1" max="1" width="10.1640625" customWidth="1"/>
    <col min="6" max="6" width="10.33203125" customWidth="1"/>
  </cols>
  <sheetData>
    <row r="1" spans="1:24" x14ac:dyDescent="0.2">
      <c r="A1" s="1" t="s">
        <v>7</v>
      </c>
    </row>
    <row r="2" spans="1:24" x14ac:dyDescent="0.2">
      <c r="A2" s="1" t="s">
        <v>10</v>
      </c>
    </row>
    <row r="3" spans="1:24" x14ac:dyDescent="0.2">
      <c r="A3" s="5" t="s">
        <v>8</v>
      </c>
    </row>
    <row r="4" spans="1:24" x14ac:dyDescent="0.2">
      <c r="A4" s="5" t="s">
        <v>16</v>
      </c>
    </row>
    <row r="5" spans="1:24" x14ac:dyDescent="0.2">
      <c r="A5" s="6" t="s">
        <v>12</v>
      </c>
    </row>
    <row r="6" spans="1:24" x14ac:dyDescent="0.2">
      <c r="A6" s="5" t="s">
        <v>11</v>
      </c>
    </row>
    <row r="7" spans="1:24" x14ac:dyDescent="0.2">
      <c r="A7" s="6" t="s">
        <v>9</v>
      </c>
    </row>
    <row r="8" spans="1:24" x14ac:dyDescent="0.2">
      <c r="A8" s="5" t="s">
        <v>13</v>
      </c>
    </row>
    <row r="9" spans="1:24" x14ac:dyDescent="0.2">
      <c r="A9" s="5" t="s">
        <v>14</v>
      </c>
    </row>
    <row r="11" spans="1:24" x14ac:dyDescent="0.2">
      <c r="A11" s="1"/>
    </row>
    <row r="14" spans="1:24" ht="16" thickBot="1" x14ac:dyDescent="0.25">
      <c r="B14" s="7" t="s">
        <v>0</v>
      </c>
      <c r="C14" s="7"/>
      <c r="D14" s="7"/>
      <c r="E14" s="7"/>
      <c r="F14" s="7"/>
    </row>
    <row r="15" spans="1:24" ht="43" thickBot="1" x14ac:dyDescent="0.25">
      <c r="A15" s="2" t="s">
        <v>1</v>
      </c>
      <c r="B15" s="2" t="s">
        <v>2</v>
      </c>
      <c r="C15" s="2" t="s">
        <v>3</v>
      </c>
      <c r="D15" s="2" t="s">
        <v>4</v>
      </c>
      <c r="E15" s="2" t="s">
        <v>5</v>
      </c>
      <c r="F15" s="2" t="s">
        <v>6</v>
      </c>
      <c r="H15" s="32"/>
      <c r="I15" s="33">
        <v>1</v>
      </c>
      <c r="J15" s="33">
        <v>2</v>
      </c>
      <c r="K15" s="33">
        <v>3</v>
      </c>
      <c r="L15" s="33">
        <v>4</v>
      </c>
      <c r="M15" s="33">
        <v>5</v>
      </c>
      <c r="N15" s="33">
        <v>6</v>
      </c>
      <c r="O15" s="33">
        <v>7</v>
      </c>
      <c r="P15" s="33">
        <v>8</v>
      </c>
      <c r="Q15" s="33">
        <v>9</v>
      </c>
      <c r="R15" s="33">
        <v>10</v>
      </c>
      <c r="S15" s="33">
        <v>11</v>
      </c>
      <c r="T15" s="33">
        <v>12</v>
      </c>
      <c r="U15" s="33">
        <v>13</v>
      </c>
      <c r="V15" s="33">
        <v>14</v>
      </c>
      <c r="W15" s="33">
        <v>15</v>
      </c>
      <c r="X15" s="33">
        <v>16</v>
      </c>
    </row>
    <row r="16" spans="1:24" x14ac:dyDescent="0.2">
      <c r="A16" s="3">
        <v>1</v>
      </c>
      <c r="B16" s="4">
        <v>5</v>
      </c>
      <c r="C16" s="4">
        <v>4</v>
      </c>
      <c r="D16" s="4">
        <v>1</v>
      </c>
      <c r="E16" s="4">
        <v>2</v>
      </c>
      <c r="F16" s="4">
        <v>1</v>
      </c>
      <c r="H16" s="34">
        <v>1</v>
      </c>
      <c r="I16" s="35">
        <v>1000</v>
      </c>
      <c r="J16" s="35">
        <v>14</v>
      </c>
      <c r="K16" s="35">
        <v>6</v>
      </c>
      <c r="L16" s="35">
        <v>12</v>
      </c>
      <c r="M16" s="35">
        <v>18</v>
      </c>
      <c r="N16" s="35">
        <v>71</v>
      </c>
      <c r="O16" s="35">
        <v>51</v>
      </c>
      <c r="P16" s="35">
        <v>61</v>
      </c>
      <c r="Q16" s="35">
        <v>115</v>
      </c>
      <c r="R16" s="35">
        <v>100</v>
      </c>
      <c r="S16" s="35">
        <v>153</v>
      </c>
      <c r="T16" s="35">
        <v>165</v>
      </c>
      <c r="U16" s="35">
        <v>169</v>
      </c>
      <c r="V16" s="35">
        <v>183</v>
      </c>
      <c r="W16" s="35">
        <v>221</v>
      </c>
      <c r="X16" s="35">
        <v>248</v>
      </c>
    </row>
    <row r="17" spans="1:24" x14ac:dyDescent="0.2">
      <c r="A17" s="3">
        <v>2</v>
      </c>
      <c r="B17" s="4">
        <v>4</v>
      </c>
      <c r="C17" s="4">
        <v>3</v>
      </c>
      <c r="D17" s="4">
        <v>4</v>
      </c>
      <c r="E17" s="4">
        <v>3</v>
      </c>
      <c r="F17" s="4">
        <v>2</v>
      </c>
      <c r="H17" s="34">
        <v>2</v>
      </c>
      <c r="I17" s="35">
        <v>14</v>
      </c>
      <c r="J17" s="35">
        <v>1000</v>
      </c>
      <c r="K17" s="35">
        <v>12</v>
      </c>
      <c r="L17" s="35">
        <v>18</v>
      </c>
      <c r="M17" s="35">
        <v>24</v>
      </c>
      <c r="N17" s="35">
        <v>35</v>
      </c>
      <c r="O17" s="35">
        <v>27</v>
      </c>
      <c r="P17" s="35">
        <v>37</v>
      </c>
      <c r="Q17" s="35">
        <v>75</v>
      </c>
      <c r="R17" s="35">
        <v>78</v>
      </c>
      <c r="S17" s="35">
        <v>105</v>
      </c>
      <c r="T17" s="35">
        <v>121</v>
      </c>
      <c r="U17" s="35">
        <v>133</v>
      </c>
      <c r="V17" s="35">
        <v>147</v>
      </c>
      <c r="W17" s="35">
        <v>173</v>
      </c>
      <c r="X17" s="35">
        <v>206</v>
      </c>
    </row>
    <row r="18" spans="1:24" x14ac:dyDescent="0.2">
      <c r="A18" s="3">
        <v>3</v>
      </c>
      <c r="B18" s="4">
        <v>5</v>
      </c>
      <c r="C18" s="4">
        <v>4</v>
      </c>
      <c r="D18" s="4">
        <v>2</v>
      </c>
      <c r="E18" s="4">
        <v>1</v>
      </c>
      <c r="F18" s="4">
        <v>1</v>
      </c>
      <c r="H18" s="34">
        <v>3</v>
      </c>
      <c r="I18" s="35">
        <v>6</v>
      </c>
      <c r="J18" s="35">
        <v>12</v>
      </c>
      <c r="K18" s="35">
        <v>1000</v>
      </c>
      <c r="L18" s="35">
        <v>2</v>
      </c>
      <c r="M18" s="35">
        <v>6</v>
      </c>
      <c r="N18" s="35">
        <v>53</v>
      </c>
      <c r="O18" s="35">
        <v>29</v>
      </c>
      <c r="P18" s="35">
        <v>33</v>
      </c>
      <c r="Q18" s="35">
        <v>89</v>
      </c>
      <c r="R18" s="35">
        <v>68</v>
      </c>
      <c r="S18" s="35">
        <v>115</v>
      </c>
      <c r="T18" s="35">
        <v>127</v>
      </c>
      <c r="U18" s="35">
        <v>125</v>
      </c>
      <c r="V18" s="35">
        <v>135</v>
      </c>
      <c r="W18" s="35">
        <v>163</v>
      </c>
      <c r="X18" s="35">
        <v>192</v>
      </c>
    </row>
    <row r="19" spans="1:24" x14ac:dyDescent="0.2">
      <c r="A19" s="3">
        <v>4</v>
      </c>
      <c r="B19" s="4">
        <v>5</v>
      </c>
      <c r="C19" s="4">
        <v>5</v>
      </c>
      <c r="D19" s="4">
        <v>2</v>
      </c>
      <c r="E19" s="4">
        <v>1</v>
      </c>
      <c r="F19" s="4">
        <v>1</v>
      </c>
      <c r="H19" s="34">
        <v>4</v>
      </c>
      <c r="I19" s="35">
        <v>12</v>
      </c>
      <c r="J19" s="35">
        <v>18</v>
      </c>
      <c r="K19" s="35">
        <v>2</v>
      </c>
      <c r="L19" s="35">
        <v>1000</v>
      </c>
      <c r="M19" s="35">
        <v>4</v>
      </c>
      <c r="N19" s="35">
        <v>47</v>
      </c>
      <c r="O19" s="35">
        <v>23</v>
      </c>
      <c r="P19" s="35">
        <v>27</v>
      </c>
      <c r="Q19" s="35">
        <v>77</v>
      </c>
      <c r="R19" s="35">
        <v>56</v>
      </c>
      <c r="S19" s="35">
        <v>99</v>
      </c>
      <c r="T19" s="35">
        <v>109</v>
      </c>
      <c r="U19" s="35">
        <v>107</v>
      </c>
      <c r="V19" s="35">
        <v>117</v>
      </c>
      <c r="W19" s="35">
        <v>145</v>
      </c>
      <c r="X19" s="35">
        <v>168</v>
      </c>
    </row>
    <row r="20" spans="1:24" x14ac:dyDescent="0.2">
      <c r="A20" s="3">
        <v>5</v>
      </c>
      <c r="B20" s="4">
        <v>4</v>
      </c>
      <c r="C20" s="4">
        <v>4</v>
      </c>
      <c r="D20" s="4">
        <v>1</v>
      </c>
      <c r="E20" s="4">
        <v>1</v>
      </c>
      <c r="F20" s="4">
        <v>1</v>
      </c>
      <c r="H20" s="34">
        <v>5</v>
      </c>
      <c r="I20" s="35">
        <v>18</v>
      </c>
      <c r="J20" s="35">
        <v>24</v>
      </c>
      <c r="K20" s="35">
        <v>6</v>
      </c>
      <c r="L20" s="35">
        <v>4</v>
      </c>
      <c r="M20" s="35">
        <v>1000</v>
      </c>
      <c r="N20" s="35">
        <v>45</v>
      </c>
      <c r="O20" s="35">
        <v>21</v>
      </c>
      <c r="P20" s="35">
        <v>21</v>
      </c>
      <c r="Q20" s="35">
        <v>67</v>
      </c>
      <c r="R20" s="35">
        <v>40</v>
      </c>
      <c r="S20" s="35">
        <v>87</v>
      </c>
      <c r="T20" s="35">
        <v>95</v>
      </c>
      <c r="U20" s="35">
        <v>89</v>
      </c>
      <c r="V20" s="35">
        <v>95</v>
      </c>
      <c r="W20" s="35">
        <v>123</v>
      </c>
      <c r="X20" s="35">
        <v>142</v>
      </c>
    </row>
    <row r="21" spans="1:24" x14ac:dyDescent="0.2">
      <c r="A21" s="3">
        <v>6</v>
      </c>
      <c r="B21" s="4">
        <v>1</v>
      </c>
      <c r="C21" s="4">
        <v>5</v>
      </c>
      <c r="D21" s="4">
        <v>5</v>
      </c>
      <c r="E21" s="4">
        <v>4</v>
      </c>
      <c r="F21" s="4">
        <v>4</v>
      </c>
      <c r="H21" s="34">
        <v>6</v>
      </c>
      <c r="I21" s="35">
        <v>71</v>
      </c>
      <c r="J21" s="35">
        <v>35</v>
      </c>
      <c r="K21" s="35">
        <v>53</v>
      </c>
      <c r="L21" s="35">
        <v>47</v>
      </c>
      <c r="M21" s="35">
        <v>45</v>
      </c>
      <c r="N21" s="35">
        <v>1000</v>
      </c>
      <c r="O21" s="35">
        <v>14</v>
      </c>
      <c r="P21" s="35">
        <v>26</v>
      </c>
      <c r="Q21" s="35">
        <v>12</v>
      </c>
      <c r="R21" s="35">
        <v>31</v>
      </c>
      <c r="S21" s="35">
        <v>26</v>
      </c>
      <c r="T21" s="35">
        <v>40</v>
      </c>
      <c r="U21" s="35">
        <v>60</v>
      </c>
      <c r="V21" s="35">
        <v>78</v>
      </c>
      <c r="W21" s="35">
        <v>102</v>
      </c>
      <c r="X21" s="35">
        <v>107</v>
      </c>
    </row>
    <row r="22" spans="1:24" x14ac:dyDescent="0.2">
      <c r="A22" s="3">
        <v>7</v>
      </c>
      <c r="B22" s="4">
        <v>4</v>
      </c>
      <c r="C22" s="4">
        <v>4</v>
      </c>
      <c r="D22" s="4">
        <v>4</v>
      </c>
      <c r="E22" s="4">
        <v>3</v>
      </c>
      <c r="F22" s="4">
        <v>3</v>
      </c>
      <c r="H22" s="34">
        <v>7</v>
      </c>
      <c r="I22" s="35">
        <v>51</v>
      </c>
      <c r="J22" s="35">
        <v>27</v>
      </c>
      <c r="K22" s="35">
        <v>29</v>
      </c>
      <c r="L22" s="35">
        <v>23</v>
      </c>
      <c r="M22" s="35">
        <v>21</v>
      </c>
      <c r="N22" s="35">
        <v>14</v>
      </c>
      <c r="O22" s="35">
        <v>1000</v>
      </c>
      <c r="P22" s="35">
        <v>4</v>
      </c>
      <c r="Q22" s="35">
        <v>22</v>
      </c>
      <c r="R22" s="35">
        <v>19</v>
      </c>
      <c r="S22" s="35">
        <v>32</v>
      </c>
      <c r="T22" s="35">
        <v>38</v>
      </c>
      <c r="U22" s="35">
        <v>42</v>
      </c>
      <c r="V22" s="35">
        <v>52</v>
      </c>
      <c r="W22" s="35">
        <v>72</v>
      </c>
      <c r="X22" s="35">
        <v>87</v>
      </c>
    </row>
    <row r="23" spans="1:24" x14ac:dyDescent="0.2">
      <c r="A23" s="3">
        <v>8</v>
      </c>
      <c r="B23" s="4">
        <v>4</v>
      </c>
      <c r="C23" s="4">
        <v>3</v>
      </c>
      <c r="D23" s="4">
        <v>4</v>
      </c>
      <c r="E23" s="4">
        <v>2</v>
      </c>
      <c r="F23" s="4">
        <v>2</v>
      </c>
      <c r="H23" s="34">
        <v>8</v>
      </c>
      <c r="I23" s="35">
        <v>61</v>
      </c>
      <c r="J23" s="35">
        <v>37</v>
      </c>
      <c r="K23" s="35">
        <v>33</v>
      </c>
      <c r="L23" s="35">
        <v>27</v>
      </c>
      <c r="M23" s="35">
        <v>21</v>
      </c>
      <c r="N23" s="35">
        <v>26</v>
      </c>
      <c r="O23" s="35">
        <v>4</v>
      </c>
      <c r="P23" s="35">
        <v>1000</v>
      </c>
      <c r="Q23" s="35">
        <v>32</v>
      </c>
      <c r="R23" s="35">
        <v>17</v>
      </c>
      <c r="S23" s="35">
        <v>36</v>
      </c>
      <c r="T23" s="35">
        <v>42</v>
      </c>
      <c r="U23" s="35">
        <v>38</v>
      </c>
      <c r="V23" s="35">
        <v>40</v>
      </c>
      <c r="W23" s="35">
        <v>52</v>
      </c>
      <c r="X23" s="35">
        <v>75</v>
      </c>
    </row>
    <row r="24" spans="1:24" x14ac:dyDescent="0.2">
      <c r="A24" s="3">
        <v>9</v>
      </c>
      <c r="B24" s="4">
        <v>1</v>
      </c>
      <c r="C24" s="4">
        <v>5</v>
      </c>
      <c r="D24" s="4">
        <v>4</v>
      </c>
      <c r="E24" s="4">
        <v>5</v>
      </c>
      <c r="F24" s="4">
        <v>5</v>
      </c>
      <c r="H24" s="34">
        <v>9</v>
      </c>
      <c r="I24" s="35">
        <v>115</v>
      </c>
      <c r="J24" s="35">
        <v>75</v>
      </c>
      <c r="K24" s="35">
        <v>89</v>
      </c>
      <c r="L24" s="35">
        <v>77</v>
      </c>
      <c r="M24" s="35">
        <v>67</v>
      </c>
      <c r="N24" s="35">
        <v>12</v>
      </c>
      <c r="O24" s="35">
        <v>22</v>
      </c>
      <c r="P24" s="35">
        <v>32</v>
      </c>
      <c r="Q24" s="35">
        <v>1000</v>
      </c>
      <c r="R24" s="35">
        <v>17</v>
      </c>
      <c r="S24" s="35">
        <v>6</v>
      </c>
      <c r="T24" s="35">
        <v>10</v>
      </c>
      <c r="U24" s="35">
        <v>26</v>
      </c>
      <c r="V24" s="35">
        <v>42</v>
      </c>
      <c r="W24" s="35">
        <v>68</v>
      </c>
      <c r="X24" s="35">
        <v>57</v>
      </c>
    </row>
    <row r="25" spans="1:24" x14ac:dyDescent="0.2">
      <c r="A25" s="3">
        <v>10</v>
      </c>
      <c r="B25" s="4">
        <v>2</v>
      </c>
      <c r="C25" s="4">
        <v>4</v>
      </c>
      <c r="D25" s="4">
        <v>2</v>
      </c>
      <c r="E25" s="4">
        <v>2</v>
      </c>
      <c r="F25" s="4">
        <v>4</v>
      </c>
      <c r="H25" s="34">
        <v>10</v>
      </c>
      <c r="I25" s="35">
        <v>100</v>
      </c>
      <c r="J25" s="35">
        <v>78</v>
      </c>
      <c r="K25" s="35">
        <v>68</v>
      </c>
      <c r="L25" s="35">
        <v>56</v>
      </c>
      <c r="M25" s="35">
        <v>40</v>
      </c>
      <c r="N25" s="35">
        <v>31</v>
      </c>
      <c r="O25" s="35">
        <v>19</v>
      </c>
      <c r="P25" s="35">
        <v>17</v>
      </c>
      <c r="Q25" s="35">
        <v>17</v>
      </c>
      <c r="R25" s="35">
        <v>1000</v>
      </c>
      <c r="S25" s="35">
        <v>17</v>
      </c>
      <c r="T25" s="35">
        <v>19</v>
      </c>
      <c r="U25" s="35">
        <v>13</v>
      </c>
      <c r="V25" s="35">
        <v>21</v>
      </c>
      <c r="W25" s="35">
        <v>43</v>
      </c>
      <c r="X25" s="35">
        <v>38</v>
      </c>
    </row>
    <row r="26" spans="1:24" x14ac:dyDescent="0.2">
      <c r="A26" s="3">
        <v>11</v>
      </c>
      <c r="B26" s="4">
        <v>1</v>
      </c>
      <c r="C26" s="4">
        <v>5</v>
      </c>
      <c r="D26" s="4">
        <v>5</v>
      </c>
      <c r="E26" s="4">
        <v>4</v>
      </c>
      <c r="F26" s="4">
        <v>5</v>
      </c>
      <c r="H26" s="34">
        <v>11</v>
      </c>
      <c r="I26" s="35">
        <v>153</v>
      </c>
      <c r="J26" s="35">
        <v>105</v>
      </c>
      <c r="K26" s="35">
        <v>115</v>
      </c>
      <c r="L26" s="35">
        <v>99</v>
      </c>
      <c r="M26" s="35">
        <v>87</v>
      </c>
      <c r="N26" s="35">
        <v>26</v>
      </c>
      <c r="O26" s="35">
        <v>32</v>
      </c>
      <c r="P26" s="35">
        <v>36</v>
      </c>
      <c r="Q26" s="35">
        <v>6</v>
      </c>
      <c r="R26" s="35">
        <v>17</v>
      </c>
      <c r="S26" s="35">
        <v>1000</v>
      </c>
      <c r="T26" s="35">
        <v>4</v>
      </c>
      <c r="U26" s="35">
        <v>14</v>
      </c>
      <c r="V26" s="35">
        <v>26</v>
      </c>
      <c r="W26" s="35">
        <v>42</v>
      </c>
      <c r="X26" s="35">
        <v>33</v>
      </c>
    </row>
    <row r="27" spans="1:24" x14ac:dyDescent="0.2">
      <c r="A27" s="3">
        <v>12</v>
      </c>
      <c r="B27" s="4">
        <v>2</v>
      </c>
      <c r="C27" s="4">
        <v>5</v>
      </c>
      <c r="D27" s="4">
        <v>4</v>
      </c>
      <c r="E27" s="4">
        <v>5</v>
      </c>
      <c r="F27" s="4">
        <v>5</v>
      </c>
      <c r="H27" s="34">
        <v>12</v>
      </c>
      <c r="I27" s="35">
        <v>165</v>
      </c>
      <c r="J27" s="35">
        <v>121</v>
      </c>
      <c r="K27" s="35">
        <v>127</v>
      </c>
      <c r="L27" s="35">
        <v>109</v>
      </c>
      <c r="M27" s="35">
        <v>95</v>
      </c>
      <c r="N27" s="35">
        <v>40</v>
      </c>
      <c r="O27" s="35">
        <v>38</v>
      </c>
      <c r="P27" s="35">
        <v>42</v>
      </c>
      <c r="Q27" s="35">
        <v>10</v>
      </c>
      <c r="R27" s="35">
        <v>19</v>
      </c>
      <c r="S27" s="35">
        <v>4</v>
      </c>
      <c r="T27" s="35">
        <v>1000</v>
      </c>
      <c r="U27" s="35">
        <v>8</v>
      </c>
      <c r="V27" s="35">
        <v>18</v>
      </c>
      <c r="W27" s="35">
        <v>38</v>
      </c>
      <c r="X27" s="35">
        <v>23</v>
      </c>
    </row>
    <row r="28" spans="1:24" x14ac:dyDescent="0.2">
      <c r="A28" s="3">
        <v>13</v>
      </c>
      <c r="B28" s="4">
        <v>3</v>
      </c>
      <c r="C28" s="4">
        <v>4</v>
      </c>
      <c r="D28" s="4">
        <v>3</v>
      </c>
      <c r="E28" s="4">
        <v>3</v>
      </c>
      <c r="F28" s="4">
        <v>5</v>
      </c>
      <c r="H28" s="34">
        <v>13</v>
      </c>
      <c r="I28" s="35">
        <v>169</v>
      </c>
      <c r="J28" s="35">
        <v>133</v>
      </c>
      <c r="K28" s="35">
        <v>125</v>
      </c>
      <c r="L28" s="35">
        <v>107</v>
      </c>
      <c r="M28" s="35">
        <v>89</v>
      </c>
      <c r="N28" s="35">
        <v>60</v>
      </c>
      <c r="O28" s="35">
        <v>42</v>
      </c>
      <c r="P28" s="35">
        <v>38</v>
      </c>
      <c r="Q28" s="35">
        <v>26</v>
      </c>
      <c r="R28" s="35">
        <v>13</v>
      </c>
      <c r="S28" s="35">
        <v>14</v>
      </c>
      <c r="T28" s="35">
        <v>8</v>
      </c>
      <c r="U28" s="35">
        <v>1000</v>
      </c>
      <c r="V28" s="35">
        <v>6</v>
      </c>
      <c r="W28" s="35">
        <v>22</v>
      </c>
      <c r="X28" s="35">
        <v>11</v>
      </c>
    </row>
    <row r="29" spans="1:24" x14ac:dyDescent="0.2">
      <c r="A29" s="3">
        <v>14</v>
      </c>
      <c r="B29" s="4">
        <v>3</v>
      </c>
      <c r="C29" s="4">
        <v>3</v>
      </c>
      <c r="D29" s="4">
        <v>3</v>
      </c>
      <c r="E29" s="4">
        <v>3</v>
      </c>
      <c r="F29" s="4">
        <v>3</v>
      </c>
      <c r="H29" s="34">
        <v>14</v>
      </c>
      <c r="I29" s="35">
        <v>183</v>
      </c>
      <c r="J29" s="35">
        <v>147</v>
      </c>
      <c r="K29" s="35">
        <v>135</v>
      </c>
      <c r="L29" s="35">
        <v>117</v>
      </c>
      <c r="M29" s="35">
        <v>95</v>
      </c>
      <c r="N29" s="35">
        <v>78</v>
      </c>
      <c r="O29" s="35">
        <v>52</v>
      </c>
      <c r="P29" s="35">
        <v>40</v>
      </c>
      <c r="Q29" s="35">
        <v>42</v>
      </c>
      <c r="R29" s="35">
        <v>21</v>
      </c>
      <c r="S29" s="35">
        <v>26</v>
      </c>
      <c r="T29" s="35">
        <v>18</v>
      </c>
      <c r="U29" s="35">
        <v>6</v>
      </c>
      <c r="V29" s="35">
        <v>1000</v>
      </c>
      <c r="W29" s="35">
        <v>8</v>
      </c>
      <c r="X29" s="35">
        <v>7</v>
      </c>
    </row>
    <row r="30" spans="1:24" x14ac:dyDescent="0.2">
      <c r="A30" s="3">
        <v>15</v>
      </c>
      <c r="B30" s="4">
        <v>3</v>
      </c>
      <c r="C30" s="4">
        <v>2</v>
      </c>
      <c r="D30" s="4">
        <v>5</v>
      </c>
      <c r="E30" s="4">
        <v>2</v>
      </c>
      <c r="F30" s="4">
        <v>2</v>
      </c>
      <c r="H30" s="34">
        <v>15</v>
      </c>
      <c r="I30" s="35">
        <v>221</v>
      </c>
      <c r="J30" s="35">
        <v>173</v>
      </c>
      <c r="K30" s="35">
        <v>163</v>
      </c>
      <c r="L30" s="35">
        <v>145</v>
      </c>
      <c r="M30" s="35">
        <v>123</v>
      </c>
      <c r="N30" s="35">
        <v>102</v>
      </c>
      <c r="O30" s="35">
        <v>72</v>
      </c>
      <c r="P30" s="35">
        <v>52</v>
      </c>
      <c r="Q30" s="35">
        <v>68</v>
      </c>
      <c r="R30" s="35">
        <v>43</v>
      </c>
      <c r="S30" s="35">
        <v>42</v>
      </c>
      <c r="T30" s="35">
        <v>38</v>
      </c>
      <c r="U30" s="35">
        <v>22</v>
      </c>
      <c r="V30" s="35">
        <v>8</v>
      </c>
      <c r="W30" s="35">
        <v>1000</v>
      </c>
      <c r="X30" s="35">
        <v>15</v>
      </c>
    </row>
    <row r="31" spans="1:24" x14ac:dyDescent="0.2">
      <c r="A31" s="3">
        <v>16</v>
      </c>
      <c r="B31" s="4">
        <v>2</v>
      </c>
      <c r="C31" s="4">
        <v>4</v>
      </c>
      <c r="D31" s="4">
        <v>3</v>
      </c>
      <c r="E31" s="4">
        <v>3</v>
      </c>
      <c r="F31" s="4">
        <v>4</v>
      </c>
      <c r="H31" s="34">
        <v>16</v>
      </c>
      <c r="I31" s="35">
        <v>248</v>
      </c>
      <c r="J31" s="35">
        <v>206</v>
      </c>
      <c r="K31" s="35">
        <v>192</v>
      </c>
      <c r="L31" s="35">
        <v>168</v>
      </c>
      <c r="M31" s="35">
        <v>142</v>
      </c>
      <c r="N31" s="35">
        <v>107</v>
      </c>
      <c r="O31" s="35">
        <v>87</v>
      </c>
      <c r="P31" s="35">
        <v>75</v>
      </c>
      <c r="Q31" s="35">
        <v>57</v>
      </c>
      <c r="R31" s="35">
        <v>38</v>
      </c>
      <c r="S31" s="35">
        <v>33</v>
      </c>
      <c r="T31" s="35">
        <v>23</v>
      </c>
      <c r="U31" s="35">
        <v>11</v>
      </c>
      <c r="V31" s="35">
        <v>7</v>
      </c>
      <c r="W31" s="35">
        <v>15</v>
      </c>
      <c r="X31" s="35">
        <v>1000</v>
      </c>
    </row>
    <row r="32" spans="1:24" x14ac:dyDescent="0.2">
      <c r="B32" s="4"/>
    </row>
    <row r="39" spans="8:25" x14ac:dyDescent="0.2">
      <c r="H39" s="30"/>
      <c r="I39" s="31">
        <v>1</v>
      </c>
      <c r="J39" s="31">
        <v>2</v>
      </c>
      <c r="K39" s="31">
        <v>3</v>
      </c>
      <c r="L39" s="31">
        <v>4</v>
      </c>
      <c r="M39" s="31">
        <v>5</v>
      </c>
      <c r="N39" s="31">
        <v>6</v>
      </c>
      <c r="O39" s="31">
        <v>7</v>
      </c>
      <c r="P39" s="31">
        <v>8</v>
      </c>
      <c r="Q39" s="31">
        <v>9</v>
      </c>
      <c r="R39" s="31">
        <v>10</v>
      </c>
      <c r="S39" s="31">
        <v>11</v>
      </c>
      <c r="T39" s="31">
        <v>12</v>
      </c>
      <c r="U39" s="31">
        <v>13</v>
      </c>
      <c r="V39" s="31">
        <v>14</v>
      </c>
      <c r="W39" s="31">
        <v>15</v>
      </c>
      <c r="X39" s="31">
        <v>16</v>
      </c>
      <c r="Y39" s="21"/>
    </row>
    <row r="40" spans="8:25" x14ac:dyDescent="0.2">
      <c r="H40" s="29">
        <v>1</v>
      </c>
      <c r="I40" s="28">
        <f t="shared" ref="I40:X55" ca="1" si="0">RANK(I16,$I$39:$X$54,1)</f>
        <v>241</v>
      </c>
      <c r="J40" s="28">
        <f t="shared" ca="1" si="0"/>
        <v>35</v>
      </c>
      <c r="K40" s="28">
        <f t="shared" ca="1" si="0"/>
        <v>9</v>
      </c>
      <c r="L40" s="28">
        <f t="shared" ca="1" si="0"/>
        <v>27</v>
      </c>
      <c r="M40" s="28">
        <f t="shared" ca="1" si="0"/>
        <v>49</v>
      </c>
      <c r="N40" s="28">
        <f t="shared" ca="1" si="0"/>
        <v>155</v>
      </c>
      <c r="O40" s="28">
        <f t="shared" ca="1" si="0"/>
        <v>133</v>
      </c>
      <c r="P40" s="28">
        <f t="shared" ca="1" si="0"/>
        <v>147</v>
      </c>
      <c r="Q40" s="28">
        <f t="shared" ca="1" si="0"/>
        <v>195</v>
      </c>
      <c r="R40" s="28">
        <f t="shared" ca="1" si="0"/>
        <v>183</v>
      </c>
      <c r="S40" s="28">
        <f t="shared" ca="1" si="0"/>
        <v>219</v>
      </c>
      <c r="T40" s="28">
        <f t="shared" ca="1" si="0"/>
        <v>223</v>
      </c>
      <c r="U40" s="28">
        <f t="shared" ca="1" si="0"/>
        <v>227</v>
      </c>
      <c r="V40" s="28">
        <f t="shared" ca="1" si="0"/>
        <v>231</v>
      </c>
      <c r="W40" s="28">
        <f t="shared" ca="1" si="0"/>
        <v>237</v>
      </c>
      <c r="X40" s="28">
        <f t="shared" ca="1" si="0"/>
        <v>239</v>
      </c>
      <c r="Y40" s="21"/>
    </row>
    <row r="41" spans="8:25" x14ac:dyDescent="0.2">
      <c r="H41" s="29">
        <v>2</v>
      </c>
      <c r="I41" s="28">
        <f t="shared" ca="1" si="0"/>
        <v>35</v>
      </c>
      <c r="J41" s="28">
        <f t="shared" ca="1" si="0"/>
        <v>241</v>
      </c>
      <c r="K41" s="28">
        <f t="shared" ca="1" si="0"/>
        <v>27</v>
      </c>
      <c r="L41" s="28">
        <f t="shared" ca="1" si="0"/>
        <v>49</v>
      </c>
      <c r="M41" s="28">
        <f t="shared" ca="1" si="0"/>
        <v>73</v>
      </c>
      <c r="N41" s="28">
        <f t="shared" ca="1" si="0"/>
        <v>99</v>
      </c>
      <c r="O41" s="28">
        <f t="shared" ca="1" si="0"/>
        <v>83</v>
      </c>
      <c r="P41" s="28">
        <f t="shared" ca="1" si="0"/>
        <v>103</v>
      </c>
      <c r="Q41" s="28">
        <f t="shared" ca="1" si="0"/>
        <v>159</v>
      </c>
      <c r="R41" s="28">
        <f t="shared" ca="1" si="0"/>
        <v>165</v>
      </c>
      <c r="S41" s="28">
        <f t="shared" ca="1" si="0"/>
        <v>187</v>
      </c>
      <c r="T41" s="28">
        <f t="shared" ca="1" si="0"/>
        <v>201</v>
      </c>
      <c r="U41" s="28">
        <f t="shared" ca="1" si="0"/>
        <v>209</v>
      </c>
      <c r="V41" s="28">
        <f t="shared" ca="1" si="0"/>
        <v>217</v>
      </c>
      <c r="W41" s="28">
        <f t="shared" ca="1" si="0"/>
        <v>229</v>
      </c>
      <c r="X41" s="28">
        <f t="shared" ca="1" si="0"/>
        <v>235</v>
      </c>
      <c r="Y41" s="21"/>
    </row>
    <row r="42" spans="8:25" x14ac:dyDescent="0.2">
      <c r="H42" s="29">
        <v>3</v>
      </c>
      <c r="I42" s="28">
        <f t="shared" ca="1" si="0"/>
        <v>9</v>
      </c>
      <c r="J42" s="28">
        <f t="shared" ca="1" si="0"/>
        <v>27</v>
      </c>
      <c r="K42" s="28">
        <f t="shared" ca="1" si="0"/>
        <v>241</v>
      </c>
      <c r="L42" s="28">
        <f t="shared" ca="1" si="0"/>
        <v>1</v>
      </c>
      <c r="M42" s="28">
        <f t="shared" ca="1" si="0"/>
        <v>9</v>
      </c>
      <c r="N42" s="28">
        <f t="shared" ca="1" si="0"/>
        <v>139</v>
      </c>
      <c r="O42" s="28">
        <f t="shared" ca="1" si="0"/>
        <v>87</v>
      </c>
      <c r="P42" s="28">
        <f t="shared" ca="1" si="0"/>
        <v>95</v>
      </c>
      <c r="Q42" s="28">
        <f t="shared" ca="1" si="0"/>
        <v>173</v>
      </c>
      <c r="R42" s="28">
        <f t="shared" ca="1" si="0"/>
        <v>151</v>
      </c>
      <c r="S42" s="28">
        <f t="shared" ca="1" si="0"/>
        <v>195</v>
      </c>
      <c r="T42" s="28">
        <f t="shared" ca="1" si="0"/>
        <v>207</v>
      </c>
      <c r="U42" s="28">
        <f t="shared" ca="1" si="0"/>
        <v>205</v>
      </c>
      <c r="V42" s="28">
        <f t="shared" ca="1" si="0"/>
        <v>211</v>
      </c>
      <c r="W42" s="28">
        <f t="shared" ca="1" si="0"/>
        <v>221</v>
      </c>
      <c r="X42" s="28">
        <f t="shared" ca="1" si="0"/>
        <v>233</v>
      </c>
    </row>
    <row r="43" spans="8:25" x14ac:dyDescent="0.2">
      <c r="H43" s="29">
        <v>4</v>
      </c>
      <c r="I43" s="28">
        <f t="shared" ca="1" si="0"/>
        <v>27</v>
      </c>
      <c r="J43" s="28">
        <f t="shared" ca="1" si="0"/>
        <v>49</v>
      </c>
      <c r="K43" s="28">
        <f t="shared" ca="1" si="0"/>
        <v>1</v>
      </c>
      <c r="L43" s="28">
        <f t="shared" ca="1" si="0"/>
        <v>241</v>
      </c>
      <c r="M43" s="28">
        <f t="shared" ca="1" si="0"/>
        <v>3</v>
      </c>
      <c r="N43" s="28">
        <f t="shared" ca="1" si="0"/>
        <v>131</v>
      </c>
      <c r="O43" s="28">
        <f t="shared" ca="1" si="0"/>
        <v>69</v>
      </c>
      <c r="P43" s="28">
        <f t="shared" ca="1" si="0"/>
        <v>83</v>
      </c>
      <c r="Q43" s="28">
        <f t="shared" ca="1" si="0"/>
        <v>163</v>
      </c>
      <c r="R43" s="28">
        <f t="shared" ca="1" si="0"/>
        <v>141</v>
      </c>
      <c r="S43" s="28">
        <f t="shared" ca="1" si="0"/>
        <v>181</v>
      </c>
      <c r="T43" s="28">
        <f t="shared" ca="1" si="0"/>
        <v>193</v>
      </c>
      <c r="U43" s="28">
        <f t="shared" ca="1" si="0"/>
        <v>189</v>
      </c>
      <c r="V43" s="28">
        <f t="shared" ca="1" si="0"/>
        <v>199</v>
      </c>
      <c r="W43" s="28">
        <f t="shared" ca="1" si="0"/>
        <v>215</v>
      </c>
      <c r="X43" s="28">
        <f t="shared" ca="1" si="0"/>
        <v>225</v>
      </c>
    </row>
    <row r="44" spans="8:25" x14ac:dyDescent="0.2">
      <c r="H44" s="29">
        <v>5</v>
      </c>
      <c r="I44" s="28">
        <f t="shared" ca="1" si="0"/>
        <v>49</v>
      </c>
      <c r="J44" s="28">
        <f t="shared" ca="1" si="0"/>
        <v>73</v>
      </c>
      <c r="K44" s="28">
        <f t="shared" ca="1" si="0"/>
        <v>9</v>
      </c>
      <c r="L44" s="28">
        <f t="shared" ca="1" si="0"/>
        <v>3</v>
      </c>
      <c r="M44" s="28">
        <f t="shared" ca="1" si="0"/>
        <v>241</v>
      </c>
      <c r="N44" s="28">
        <f t="shared" ca="1" si="0"/>
        <v>129</v>
      </c>
      <c r="O44" s="28">
        <f t="shared" ca="1" si="0"/>
        <v>59</v>
      </c>
      <c r="P44" s="28">
        <f t="shared" ca="1" si="0"/>
        <v>59</v>
      </c>
      <c r="Q44" s="28">
        <f t="shared" ca="1" si="0"/>
        <v>149</v>
      </c>
      <c r="R44" s="28">
        <f t="shared" ca="1" si="0"/>
        <v>113</v>
      </c>
      <c r="S44" s="28">
        <f t="shared" ca="1" si="0"/>
        <v>169</v>
      </c>
      <c r="T44" s="28">
        <f t="shared" ca="1" si="0"/>
        <v>177</v>
      </c>
      <c r="U44" s="28">
        <f t="shared" ca="1" si="0"/>
        <v>173</v>
      </c>
      <c r="V44" s="28">
        <f t="shared" ca="1" si="0"/>
        <v>177</v>
      </c>
      <c r="W44" s="28">
        <f t="shared" ca="1" si="0"/>
        <v>203</v>
      </c>
      <c r="X44" s="28">
        <f t="shared" ca="1" si="0"/>
        <v>213</v>
      </c>
    </row>
    <row r="45" spans="8:25" x14ac:dyDescent="0.2">
      <c r="H45" s="29">
        <v>6</v>
      </c>
      <c r="I45" s="28">
        <f t="shared" ca="1" si="0"/>
        <v>155</v>
      </c>
      <c r="J45" s="28">
        <f t="shared" ca="1" si="0"/>
        <v>99</v>
      </c>
      <c r="K45" s="28">
        <f t="shared" ca="1" si="0"/>
        <v>139</v>
      </c>
      <c r="L45" s="28">
        <f t="shared" ca="1" si="0"/>
        <v>131</v>
      </c>
      <c r="M45" s="28">
        <f t="shared" ca="1" si="0"/>
        <v>129</v>
      </c>
      <c r="N45" s="28">
        <f t="shared" ca="1" si="0"/>
        <v>241</v>
      </c>
      <c r="O45" s="28">
        <f t="shared" ca="1" si="0"/>
        <v>35</v>
      </c>
      <c r="P45" s="28">
        <f t="shared" ca="1" si="0"/>
        <v>75</v>
      </c>
      <c r="Q45" s="28">
        <f t="shared" ca="1" si="0"/>
        <v>27</v>
      </c>
      <c r="R45" s="28">
        <f t="shared" ca="1" si="0"/>
        <v>89</v>
      </c>
      <c r="S45" s="28">
        <f t="shared" ca="1" si="0"/>
        <v>75</v>
      </c>
      <c r="T45" s="28">
        <f t="shared" ca="1" si="0"/>
        <v>113</v>
      </c>
      <c r="U45" s="28">
        <f t="shared" ca="1" si="0"/>
        <v>145</v>
      </c>
      <c r="V45" s="28">
        <f t="shared" ca="1" si="0"/>
        <v>165</v>
      </c>
      <c r="W45" s="28">
        <f t="shared" ca="1" si="0"/>
        <v>185</v>
      </c>
      <c r="X45" s="28">
        <f t="shared" ca="1" si="0"/>
        <v>189</v>
      </c>
    </row>
    <row r="46" spans="8:25" x14ac:dyDescent="0.2">
      <c r="H46" s="29">
        <v>7</v>
      </c>
      <c r="I46" s="28">
        <f t="shared" ca="1" si="0"/>
        <v>133</v>
      </c>
      <c r="J46" s="28">
        <f t="shared" ca="1" si="0"/>
        <v>83</v>
      </c>
      <c r="K46" s="28">
        <f t="shared" ca="1" si="0"/>
        <v>87</v>
      </c>
      <c r="L46" s="28">
        <f t="shared" ca="1" si="0"/>
        <v>69</v>
      </c>
      <c r="M46" s="28">
        <f t="shared" ca="1" si="0"/>
        <v>59</v>
      </c>
      <c r="N46" s="28">
        <f t="shared" ca="1" si="0"/>
        <v>35</v>
      </c>
      <c r="O46" s="28">
        <f t="shared" ca="1" si="0"/>
        <v>241</v>
      </c>
      <c r="P46" s="28">
        <f t="shared" ca="1" si="0"/>
        <v>3</v>
      </c>
      <c r="Q46" s="28">
        <f t="shared" ca="1" si="0"/>
        <v>65</v>
      </c>
      <c r="R46" s="28">
        <f t="shared" ca="1" si="0"/>
        <v>55</v>
      </c>
      <c r="S46" s="28">
        <f t="shared" ca="1" si="0"/>
        <v>91</v>
      </c>
      <c r="T46" s="28">
        <f t="shared" ca="1" si="0"/>
        <v>105</v>
      </c>
      <c r="U46" s="28">
        <f t="shared" ca="1" si="0"/>
        <v>119</v>
      </c>
      <c r="V46" s="28">
        <f t="shared" ca="1" si="0"/>
        <v>135</v>
      </c>
      <c r="W46" s="28">
        <f t="shared" ca="1" si="0"/>
        <v>157</v>
      </c>
      <c r="X46" s="28">
        <f t="shared" ca="1" si="0"/>
        <v>169</v>
      </c>
    </row>
    <row r="47" spans="8:25" x14ac:dyDescent="0.2">
      <c r="H47" s="29">
        <v>8</v>
      </c>
      <c r="I47" s="28">
        <f t="shared" ca="1" si="0"/>
        <v>147</v>
      </c>
      <c r="J47" s="28">
        <f t="shared" ca="1" si="0"/>
        <v>103</v>
      </c>
      <c r="K47" s="28">
        <f t="shared" ca="1" si="0"/>
        <v>95</v>
      </c>
      <c r="L47" s="28">
        <f t="shared" ca="1" si="0"/>
        <v>83</v>
      </c>
      <c r="M47" s="28">
        <f t="shared" ca="1" si="0"/>
        <v>59</v>
      </c>
      <c r="N47" s="28">
        <f t="shared" ca="1" si="0"/>
        <v>75</v>
      </c>
      <c r="O47" s="28">
        <f t="shared" ca="1" si="0"/>
        <v>3</v>
      </c>
      <c r="P47" s="28">
        <f t="shared" ca="1" si="0"/>
        <v>241</v>
      </c>
      <c r="Q47" s="28">
        <f t="shared" ca="1" si="0"/>
        <v>91</v>
      </c>
      <c r="R47" s="28">
        <f t="shared" ca="1" si="0"/>
        <v>43</v>
      </c>
      <c r="S47" s="28">
        <f t="shared" ca="1" si="0"/>
        <v>101</v>
      </c>
      <c r="T47" s="28">
        <f t="shared" ca="1" si="0"/>
        <v>119</v>
      </c>
      <c r="U47" s="28">
        <f t="shared" ca="1" si="0"/>
        <v>105</v>
      </c>
      <c r="V47" s="28">
        <f t="shared" ca="1" si="0"/>
        <v>113</v>
      </c>
      <c r="W47" s="28">
        <f t="shared" ca="1" si="0"/>
        <v>135</v>
      </c>
      <c r="X47" s="28">
        <f t="shared" ca="1" si="0"/>
        <v>159</v>
      </c>
    </row>
    <row r="48" spans="8:25" x14ac:dyDescent="0.2">
      <c r="H48" s="29">
        <v>9</v>
      </c>
      <c r="I48" s="28">
        <f t="shared" ca="1" si="0"/>
        <v>195</v>
      </c>
      <c r="J48" s="28">
        <f t="shared" ca="1" si="0"/>
        <v>159</v>
      </c>
      <c r="K48" s="28">
        <f t="shared" ca="1" si="0"/>
        <v>173</v>
      </c>
      <c r="L48" s="28">
        <f t="shared" ca="1" si="0"/>
        <v>163</v>
      </c>
      <c r="M48" s="28">
        <f t="shared" ca="1" si="0"/>
        <v>149</v>
      </c>
      <c r="N48" s="28">
        <f t="shared" ca="1" si="0"/>
        <v>27</v>
      </c>
      <c r="O48" s="28">
        <f t="shared" ca="1" si="0"/>
        <v>65</v>
      </c>
      <c r="P48" s="28">
        <f t="shared" ca="1" si="0"/>
        <v>91</v>
      </c>
      <c r="Q48" s="28">
        <f t="shared" ca="1" si="0"/>
        <v>241</v>
      </c>
      <c r="R48" s="28">
        <f t="shared" ca="1" si="0"/>
        <v>43</v>
      </c>
      <c r="S48" s="28">
        <f t="shared" ca="1" si="0"/>
        <v>9</v>
      </c>
      <c r="T48" s="28">
        <f t="shared" ca="1" si="0"/>
        <v>23</v>
      </c>
      <c r="U48" s="28">
        <f t="shared" ca="1" si="0"/>
        <v>75</v>
      </c>
      <c r="V48" s="28">
        <f t="shared" ca="1" si="0"/>
        <v>119</v>
      </c>
      <c r="W48" s="28">
        <f t="shared" ca="1" si="0"/>
        <v>151</v>
      </c>
      <c r="X48" s="28">
        <f t="shared" ca="1" si="0"/>
        <v>143</v>
      </c>
    </row>
    <row r="49" spans="1:24" x14ac:dyDescent="0.2">
      <c r="H49" s="29">
        <v>10</v>
      </c>
      <c r="I49" s="28">
        <f t="shared" ca="1" si="0"/>
        <v>183</v>
      </c>
      <c r="J49" s="28">
        <f t="shared" ca="1" si="0"/>
        <v>165</v>
      </c>
      <c r="K49" s="28">
        <f t="shared" ca="1" si="0"/>
        <v>151</v>
      </c>
      <c r="L49" s="28">
        <f t="shared" ca="1" si="0"/>
        <v>141</v>
      </c>
      <c r="M49" s="28">
        <f t="shared" ca="1" si="0"/>
        <v>113</v>
      </c>
      <c r="N49" s="28">
        <f t="shared" ca="1" si="0"/>
        <v>89</v>
      </c>
      <c r="O49" s="28">
        <f t="shared" ca="1" si="0"/>
        <v>55</v>
      </c>
      <c r="P49" s="28">
        <f t="shared" ca="1" si="0"/>
        <v>43</v>
      </c>
      <c r="Q49" s="28">
        <f t="shared" ca="1" si="0"/>
        <v>43</v>
      </c>
      <c r="R49" s="28">
        <f t="shared" ca="1" si="0"/>
        <v>241</v>
      </c>
      <c r="S49" s="28">
        <f t="shared" ca="1" si="0"/>
        <v>43</v>
      </c>
      <c r="T49" s="28">
        <f t="shared" ca="1" si="0"/>
        <v>55</v>
      </c>
      <c r="U49" s="28">
        <f t="shared" ca="1" si="0"/>
        <v>33</v>
      </c>
      <c r="V49" s="28">
        <f t="shared" ca="1" si="0"/>
        <v>59</v>
      </c>
      <c r="W49" s="28">
        <f t="shared" ca="1" si="0"/>
        <v>127</v>
      </c>
      <c r="X49" s="28">
        <f t="shared" ca="1" si="0"/>
        <v>105</v>
      </c>
    </row>
    <row r="50" spans="1:24" x14ac:dyDescent="0.2">
      <c r="H50" s="29">
        <v>11</v>
      </c>
      <c r="I50" s="28">
        <f t="shared" ca="1" si="0"/>
        <v>219</v>
      </c>
      <c r="J50" s="28">
        <f t="shared" ca="1" si="0"/>
        <v>187</v>
      </c>
      <c r="K50" s="28">
        <f t="shared" ca="1" si="0"/>
        <v>195</v>
      </c>
      <c r="L50" s="28">
        <f t="shared" ca="1" si="0"/>
        <v>181</v>
      </c>
      <c r="M50" s="28">
        <f t="shared" ca="1" si="0"/>
        <v>169</v>
      </c>
      <c r="N50" s="28">
        <f t="shared" ca="1" si="0"/>
        <v>75</v>
      </c>
      <c r="O50" s="28">
        <f t="shared" ca="1" si="0"/>
        <v>91</v>
      </c>
      <c r="P50" s="28">
        <f t="shared" ca="1" si="0"/>
        <v>101</v>
      </c>
      <c r="Q50" s="28">
        <f t="shared" ca="1" si="0"/>
        <v>9</v>
      </c>
      <c r="R50" s="28">
        <f t="shared" ca="1" si="0"/>
        <v>43</v>
      </c>
      <c r="S50" s="28">
        <f t="shared" ca="1" si="0"/>
        <v>241</v>
      </c>
      <c r="T50" s="28">
        <f t="shared" ca="1" si="0"/>
        <v>3</v>
      </c>
      <c r="U50" s="28">
        <f t="shared" ca="1" si="0"/>
        <v>35</v>
      </c>
      <c r="V50" s="28">
        <f t="shared" ca="1" si="0"/>
        <v>75</v>
      </c>
      <c r="W50" s="28">
        <f t="shared" ca="1" si="0"/>
        <v>119</v>
      </c>
      <c r="X50" s="28">
        <f t="shared" ca="1" si="0"/>
        <v>95</v>
      </c>
    </row>
    <row r="51" spans="1:24" x14ac:dyDescent="0.2">
      <c r="H51" s="29">
        <v>12</v>
      </c>
      <c r="I51" s="28">
        <f t="shared" ca="1" si="0"/>
        <v>223</v>
      </c>
      <c r="J51" s="28">
        <f t="shared" ca="1" si="0"/>
        <v>201</v>
      </c>
      <c r="K51" s="28">
        <f t="shared" ca="1" si="0"/>
        <v>207</v>
      </c>
      <c r="L51" s="28">
        <f t="shared" ca="1" si="0"/>
        <v>193</v>
      </c>
      <c r="M51" s="28">
        <f t="shared" ca="1" si="0"/>
        <v>177</v>
      </c>
      <c r="N51" s="28">
        <f t="shared" ca="1" si="0"/>
        <v>113</v>
      </c>
      <c r="O51" s="28">
        <f t="shared" ca="1" si="0"/>
        <v>105</v>
      </c>
      <c r="P51" s="28">
        <f t="shared" ca="1" si="0"/>
        <v>119</v>
      </c>
      <c r="Q51" s="28">
        <f t="shared" ca="1" si="0"/>
        <v>23</v>
      </c>
      <c r="R51" s="28">
        <f t="shared" ca="1" si="0"/>
        <v>55</v>
      </c>
      <c r="S51" s="28">
        <f t="shared" ca="1" si="0"/>
        <v>3</v>
      </c>
      <c r="T51" s="28">
        <f t="shared" ca="1" si="0"/>
        <v>241</v>
      </c>
      <c r="U51" s="28">
        <f t="shared" ca="1" si="0"/>
        <v>19</v>
      </c>
      <c r="V51" s="28">
        <f t="shared" ca="1" si="0"/>
        <v>49</v>
      </c>
      <c r="W51" s="28">
        <f t="shared" ca="1" si="0"/>
        <v>105</v>
      </c>
      <c r="X51" s="28">
        <f t="shared" ca="1" si="0"/>
        <v>69</v>
      </c>
    </row>
    <row r="52" spans="1:24" x14ac:dyDescent="0.2">
      <c r="H52" s="29">
        <v>13</v>
      </c>
      <c r="I52" s="28">
        <f t="shared" ca="1" si="0"/>
        <v>227</v>
      </c>
      <c r="J52" s="28">
        <f t="shared" ca="1" si="0"/>
        <v>209</v>
      </c>
      <c r="K52" s="28">
        <f t="shared" ca="1" si="0"/>
        <v>205</v>
      </c>
      <c r="L52" s="28">
        <f t="shared" ca="1" si="0"/>
        <v>189</v>
      </c>
      <c r="M52" s="28">
        <f t="shared" ca="1" si="0"/>
        <v>173</v>
      </c>
      <c r="N52" s="28">
        <f t="shared" ca="1" si="0"/>
        <v>145</v>
      </c>
      <c r="O52" s="28">
        <f t="shared" ca="1" si="0"/>
        <v>119</v>
      </c>
      <c r="P52" s="28">
        <f t="shared" ca="1" si="0"/>
        <v>105</v>
      </c>
      <c r="Q52" s="28">
        <f t="shared" ca="1" si="0"/>
        <v>75</v>
      </c>
      <c r="R52" s="28">
        <f t="shared" ca="1" si="0"/>
        <v>33</v>
      </c>
      <c r="S52" s="28">
        <f t="shared" ca="1" si="0"/>
        <v>35</v>
      </c>
      <c r="T52" s="28">
        <f t="shared" ca="1" si="0"/>
        <v>19</v>
      </c>
      <c r="U52" s="28">
        <f t="shared" ca="1" si="0"/>
        <v>241</v>
      </c>
      <c r="V52" s="28">
        <f t="shared" ca="1" si="0"/>
        <v>9</v>
      </c>
      <c r="W52" s="28">
        <f t="shared" ca="1" si="0"/>
        <v>65</v>
      </c>
      <c r="X52" s="28">
        <f t="shared" ca="1" si="0"/>
        <v>25</v>
      </c>
    </row>
    <row r="53" spans="1:24" x14ac:dyDescent="0.2">
      <c r="H53" s="29">
        <v>14</v>
      </c>
      <c r="I53" s="28">
        <f t="shared" ca="1" si="0"/>
        <v>231</v>
      </c>
      <c r="J53" s="28">
        <f t="shared" ca="1" si="0"/>
        <v>217</v>
      </c>
      <c r="K53" s="28">
        <f t="shared" ca="1" si="0"/>
        <v>211</v>
      </c>
      <c r="L53" s="28">
        <f t="shared" ca="1" si="0"/>
        <v>199</v>
      </c>
      <c r="M53" s="28">
        <f t="shared" ca="1" si="0"/>
        <v>177</v>
      </c>
      <c r="N53" s="28">
        <f t="shared" ca="1" si="0"/>
        <v>165</v>
      </c>
      <c r="O53" s="28">
        <f t="shared" ca="1" si="0"/>
        <v>135</v>
      </c>
      <c r="P53" s="28">
        <f t="shared" ca="1" si="0"/>
        <v>113</v>
      </c>
      <c r="Q53" s="28">
        <f t="shared" ca="1" si="0"/>
        <v>119</v>
      </c>
      <c r="R53" s="28">
        <f t="shared" ca="1" si="0"/>
        <v>59</v>
      </c>
      <c r="S53" s="28">
        <f t="shared" ca="1" si="0"/>
        <v>75</v>
      </c>
      <c r="T53" s="28">
        <f t="shared" ca="1" si="0"/>
        <v>49</v>
      </c>
      <c r="U53" s="28">
        <f t="shared" ca="1" si="0"/>
        <v>9</v>
      </c>
      <c r="V53" s="28">
        <f t="shared" ca="1" si="0"/>
        <v>241</v>
      </c>
      <c r="W53" s="28">
        <f t="shared" ca="1" si="0"/>
        <v>19</v>
      </c>
      <c r="X53" s="28">
        <f t="shared" ca="1" si="0"/>
        <v>17</v>
      </c>
    </row>
    <row r="54" spans="1:24" x14ac:dyDescent="0.2">
      <c r="H54" s="29">
        <v>15</v>
      </c>
      <c r="I54" s="28">
        <f t="shared" ca="1" si="0"/>
        <v>237</v>
      </c>
      <c r="J54" s="28">
        <f t="shared" ca="1" si="0"/>
        <v>229</v>
      </c>
      <c r="K54" s="28">
        <f t="shared" ca="1" si="0"/>
        <v>221</v>
      </c>
      <c r="L54" s="28">
        <f t="shared" ca="1" si="0"/>
        <v>215</v>
      </c>
      <c r="M54" s="28">
        <f t="shared" ca="1" si="0"/>
        <v>203</v>
      </c>
      <c r="N54" s="28">
        <f t="shared" ca="1" si="0"/>
        <v>185</v>
      </c>
      <c r="O54" s="28">
        <f t="shared" ca="1" si="0"/>
        <v>157</v>
      </c>
      <c r="P54" s="28">
        <f t="shared" ca="1" si="0"/>
        <v>135</v>
      </c>
      <c r="Q54" s="28">
        <f t="shared" ca="1" si="0"/>
        <v>151</v>
      </c>
      <c r="R54" s="28">
        <f t="shared" ca="1" si="0"/>
        <v>127</v>
      </c>
      <c r="S54" s="28">
        <f t="shared" ca="1" si="0"/>
        <v>119</v>
      </c>
      <c r="T54" s="28">
        <f t="shared" ca="1" si="0"/>
        <v>105</v>
      </c>
      <c r="U54" s="28">
        <f t="shared" ca="1" si="0"/>
        <v>65</v>
      </c>
      <c r="V54" s="28">
        <f t="shared" ca="1" si="0"/>
        <v>19</v>
      </c>
      <c r="W54" s="28">
        <f t="shared" ca="1" si="0"/>
        <v>241</v>
      </c>
      <c r="X54" s="28">
        <f t="shared" ca="1" si="0"/>
        <v>41</v>
      </c>
    </row>
    <row r="55" spans="1:24" x14ac:dyDescent="0.2">
      <c r="H55" s="29">
        <v>16</v>
      </c>
      <c r="I55" s="28">
        <f t="shared" ca="1" si="0"/>
        <v>239</v>
      </c>
      <c r="J55" s="28">
        <f t="shared" ca="1" si="0"/>
        <v>235</v>
      </c>
      <c r="K55" s="28">
        <f t="shared" ca="1" si="0"/>
        <v>233</v>
      </c>
      <c r="L55" s="28">
        <f t="shared" ca="1" si="0"/>
        <v>225</v>
      </c>
      <c r="M55" s="28">
        <f t="shared" ca="1" si="0"/>
        <v>213</v>
      </c>
      <c r="N55" s="28">
        <f t="shared" ca="1" si="0"/>
        <v>189</v>
      </c>
      <c r="O55" s="28">
        <f t="shared" ca="1" si="0"/>
        <v>169</v>
      </c>
      <c r="P55" s="28">
        <f t="shared" ca="1" si="0"/>
        <v>159</v>
      </c>
      <c r="Q55" s="28">
        <f t="shared" ca="1" si="0"/>
        <v>143</v>
      </c>
      <c r="R55" s="28">
        <f t="shared" ca="1" si="0"/>
        <v>105</v>
      </c>
      <c r="S55" s="28">
        <f t="shared" ca="1" si="0"/>
        <v>95</v>
      </c>
      <c r="T55" s="28">
        <f t="shared" ca="1" si="0"/>
        <v>69</v>
      </c>
      <c r="U55" s="28">
        <f t="shared" ca="1" si="0"/>
        <v>25</v>
      </c>
      <c r="V55" s="28">
        <f t="shared" ca="1" si="0"/>
        <v>17</v>
      </c>
      <c r="W55" s="28">
        <f t="shared" ca="1" si="0"/>
        <v>41</v>
      </c>
      <c r="X55" s="28">
        <f t="shared" ref="X55" ca="1" si="1">RANK(X31,$I$39:$X$54,1)</f>
        <v>241</v>
      </c>
    </row>
    <row r="60" spans="1:24" x14ac:dyDescent="0.2">
      <c r="A60" s="24"/>
      <c r="B60" s="25" t="s">
        <v>38</v>
      </c>
      <c r="C60" s="25" t="s">
        <v>39</v>
      </c>
      <c r="D60" s="21"/>
      <c r="E60" s="21"/>
      <c r="F60" s="21"/>
      <c r="G60" s="21"/>
      <c r="H60" s="32"/>
      <c r="I60" s="33">
        <v>1</v>
      </c>
      <c r="J60" s="33">
        <v>2</v>
      </c>
      <c r="K60" s="33">
        <v>3</v>
      </c>
      <c r="L60" s="33">
        <v>4</v>
      </c>
      <c r="M60" s="33">
        <v>5</v>
      </c>
      <c r="N60" s="33">
        <v>6</v>
      </c>
      <c r="O60" s="33">
        <v>7</v>
      </c>
      <c r="P60" s="33">
        <v>8</v>
      </c>
      <c r="Q60" s="33">
        <v>9</v>
      </c>
      <c r="R60" s="33">
        <v>10</v>
      </c>
      <c r="S60" s="33">
        <v>11</v>
      </c>
      <c r="T60" s="33">
        <v>12</v>
      </c>
      <c r="U60" s="33">
        <v>13</v>
      </c>
      <c r="V60" s="33">
        <v>14</v>
      </c>
      <c r="W60" s="33">
        <v>15</v>
      </c>
      <c r="X60" s="33">
        <v>16</v>
      </c>
    </row>
    <row r="61" spans="1:24" x14ac:dyDescent="0.2">
      <c r="A61" s="26">
        <v>1</v>
      </c>
      <c r="B61" s="27">
        <v>1.6691510000000001</v>
      </c>
      <c r="C61" s="22">
        <v>-2.39072</v>
      </c>
      <c r="D61" s="21"/>
      <c r="E61" s="21"/>
      <c r="F61" s="21"/>
      <c r="G61" s="21"/>
      <c r="H61" s="34">
        <v>1</v>
      </c>
      <c r="I61" s="35">
        <v>1000</v>
      </c>
      <c r="J61" s="35">
        <v>0.96597699999999997</v>
      </c>
      <c r="K61" s="35">
        <v>0.33657700000000002</v>
      </c>
      <c r="L61" s="35">
        <v>0.75448999999999999</v>
      </c>
      <c r="M61" s="35">
        <v>1.324889</v>
      </c>
      <c r="N61" s="35">
        <v>8.1412899999999997</v>
      </c>
      <c r="O61" s="35">
        <v>5.2365110000000001</v>
      </c>
      <c r="P61" s="35">
        <v>5.8849710000000002</v>
      </c>
      <c r="Q61" s="35">
        <v>12.518090000000001</v>
      </c>
      <c r="R61" s="35">
        <v>11.3028</v>
      </c>
      <c r="S61" s="35">
        <v>16.021039999999999</v>
      </c>
      <c r="T61" s="35">
        <v>18.17557</v>
      </c>
      <c r="U61" s="35">
        <v>21.183109999999999</v>
      </c>
      <c r="V61" s="35">
        <v>21.963339999999999</v>
      </c>
      <c r="W61" s="35">
        <v>26.720610000000001</v>
      </c>
      <c r="X61" s="35">
        <v>30.31841</v>
      </c>
    </row>
    <row r="62" spans="1:24" x14ac:dyDescent="0.2">
      <c r="A62" s="26">
        <v>2</v>
      </c>
      <c r="B62" s="27">
        <v>0.73690800000000001</v>
      </c>
      <c r="C62" s="22">
        <v>-2.0794299999999999</v>
      </c>
      <c r="D62" s="21"/>
      <c r="E62" s="21"/>
      <c r="F62" s="21"/>
      <c r="G62" s="21"/>
      <c r="H62" s="34">
        <v>2</v>
      </c>
      <c r="I62" s="35">
        <v>0.55852599999999997</v>
      </c>
      <c r="J62" s="35">
        <v>1000</v>
      </c>
      <c r="K62" s="35">
        <v>0.55852599999999997</v>
      </c>
      <c r="L62" s="35">
        <v>0.85977499999999996</v>
      </c>
      <c r="M62" s="35">
        <v>0.88266299999999998</v>
      </c>
      <c r="N62" s="35">
        <v>6.6355110000000002</v>
      </c>
      <c r="O62" s="35">
        <v>3.0177320000000001</v>
      </c>
      <c r="P62" s="35">
        <v>2.966189</v>
      </c>
      <c r="Q62" s="35">
        <v>9.2688629999999996</v>
      </c>
      <c r="R62" s="35">
        <v>6.8237399999999999</v>
      </c>
      <c r="S62" s="35">
        <v>11.63862</v>
      </c>
      <c r="T62" s="35">
        <v>13.174770000000001</v>
      </c>
      <c r="U62" s="35">
        <v>15.0542</v>
      </c>
      <c r="V62" s="35">
        <v>15.073230000000001</v>
      </c>
      <c r="W62" s="35">
        <v>18.57957</v>
      </c>
      <c r="X62" s="35">
        <v>22.936630000000001</v>
      </c>
    </row>
    <row r="63" spans="1:24" x14ac:dyDescent="0.2">
      <c r="A63" s="26">
        <v>3</v>
      </c>
      <c r="B63" s="27">
        <v>1.449381</v>
      </c>
      <c r="C63" s="22">
        <v>-1.8537999999999999</v>
      </c>
      <c r="D63" s="21"/>
      <c r="E63" s="21"/>
      <c r="F63" s="21"/>
      <c r="G63" s="21"/>
      <c r="H63" s="34">
        <v>3</v>
      </c>
      <c r="I63" s="35">
        <v>0.33657700000000002</v>
      </c>
      <c r="J63" s="35">
        <v>0.55852599999999997</v>
      </c>
      <c r="K63" s="35">
        <v>1000</v>
      </c>
      <c r="L63" s="35">
        <v>9.9940000000000001E-2</v>
      </c>
      <c r="M63" s="35">
        <v>0.32692500000000002</v>
      </c>
      <c r="N63" s="35">
        <v>5.273733</v>
      </c>
      <c r="O63" s="35">
        <v>2.925554</v>
      </c>
      <c r="P63" s="35">
        <v>3.488359</v>
      </c>
      <c r="Q63" s="35">
        <v>8.7567039999999992</v>
      </c>
      <c r="R63" s="35">
        <v>7.8671239999999996</v>
      </c>
      <c r="S63" s="35">
        <v>11.716469999999999</v>
      </c>
      <c r="T63" s="35">
        <v>13.58188</v>
      </c>
      <c r="U63" s="35">
        <v>16.276129999999998</v>
      </c>
      <c r="V63" s="35">
        <v>17.122199999999999</v>
      </c>
      <c r="W63" s="35">
        <v>21.53398</v>
      </c>
      <c r="X63" s="35">
        <v>24.358239999999999</v>
      </c>
    </row>
    <row r="64" spans="1:24" x14ac:dyDescent="0.2">
      <c r="A64" s="26">
        <v>4</v>
      </c>
      <c r="B64" s="27">
        <v>1.4914320000000001</v>
      </c>
      <c r="C64" s="22">
        <v>-1.5404800000000001</v>
      </c>
      <c r="D64" s="21"/>
      <c r="E64" s="21"/>
      <c r="F64" s="21"/>
      <c r="G64" s="21"/>
      <c r="H64" s="34">
        <v>4</v>
      </c>
      <c r="I64" s="35">
        <v>0.75448999999999999</v>
      </c>
      <c r="J64" s="35">
        <v>0.85977499999999996</v>
      </c>
      <c r="K64" s="35">
        <v>9.9940000000000001E-2</v>
      </c>
      <c r="L64" s="35">
        <v>1000</v>
      </c>
      <c r="M64" s="35">
        <v>0.10030600000000001</v>
      </c>
      <c r="N64" s="35">
        <v>3.9517799999999998</v>
      </c>
      <c r="O64" s="35">
        <v>2.147564</v>
      </c>
      <c r="P64" s="35">
        <v>2.7979940000000001</v>
      </c>
      <c r="Q64" s="35">
        <v>7.1724019999999999</v>
      </c>
      <c r="R64" s="35">
        <v>6.7730839999999999</v>
      </c>
      <c r="S64" s="35">
        <v>9.9883299999999995</v>
      </c>
      <c r="T64" s="35">
        <v>11.78041</v>
      </c>
      <c r="U64" s="35">
        <v>14.492100000000001</v>
      </c>
      <c r="V64" s="35">
        <v>15.54575</v>
      </c>
      <c r="W64" s="35">
        <v>19.978210000000001</v>
      </c>
      <c r="X64" s="35">
        <v>22.095510000000001</v>
      </c>
    </row>
    <row r="65" spans="1:24" x14ac:dyDescent="0.2">
      <c r="A65" s="26">
        <v>5</v>
      </c>
      <c r="B65" s="27">
        <v>1.274983</v>
      </c>
      <c r="C65" s="22">
        <v>-1.30928</v>
      </c>
      <c r="D65" s="21"/>
      <c r="E65" s="21"/>
      <c r="F65" s="21"/>
      <c r="G65" s="21"/>
      <c r="H65" s="34">
        <v>5</v>
      </c>
      <c r="I65" s="35">
        <v>1.324889</v>
      </c>
      <c r="J65" s="35">
        <v>0.88266299999999998</v>
      </c>
      <c r="K65" s="35">
        <v>0.32692500000000002</v>
      </c>
      <c r="L65" s="35">
        <v>0.10030600000000001</v>
      </c>
      <c r="M65" s="35">
        <v>1000</v>
      </c>
      <c r="N65" s="35">
        <v>3.0494829999999999</v>
      </c>
      <c r="O65" s="35">
        <v>1.3281909999999999</v>
      </c>
      <c r="P65" s="35">
        <v>1.843305</v>
      </c>
      <c r="Q65" s="35">
        <v>5.6997629999999999</v>
      </c>
      <c r="R65" s="35">
        <v>5.225981</v>
      </c>
      <c r="S65" s="35">
        <v>8.1579379999999997</v>
      </c>
      <c r="T65" s="35">
        <v>9.7572949999999992</v>
      </c>
      <c r="U65" s="35">
        <v>12.19082</v>
      </c>
      <c r="V65" s="35">
        <v>13.15184</v>
      </c>
      <c r="W65" s="35">
        <v>17.276520000000001</v>
      </c>
      <c r="X65" s="35">
        <v>19.243500000000001</v>
      </c>
    </row>
    <row r="66" spans="1:24" x14ac:dyDescent="0.2">
      <c r="A66" s="26">
        <v>6</v>
      </c>
      <c r="B66" s="27">
        <v>1.287644</v>
      </c>
      <c r="C66" s="22">
        <v>0.43695400000000001</v>
      </c>
      <c r="D66" s="21"/>
      <c r="E66" s="21"/>
      <c r="F66" s="21"/>
      <c r="G66" s="21"/>
      <c r="H66" s="34">
        <v>6</v>
      </c>
      <c r="I66" s="35">
        <v>8.1412899999999997</v>
      </c>
      <c r="J66" s="35">
        <v>6.6355110000000002</v>
      </c>
      <c r="K66" s="35">
        <v>5.273733</v>
      </c>
      <c r="L66" s="35">
        <v>3.9517799999999998</v>
      </c>
      <c r="M66" s="35">
        <v>3.0494829999999999</v>
      </c>
      <c r="N66" s="35">
        <v>1000</v>
      </c>
      <c r="O66" s="35">
        <v>1.0250570000000001</v>
      </c>
      <c r="P66" s="35">
        <v>1.8493889999999999</v>
      </c>
      <c r="Q66" s="35">
        <v>0.85063800000000001</v>
      </c>
      <c r="R66" s="35">
        <v>2.718423</v>
      </c>
      <c r="S66" s="35">
        <v>2.2817720000000001</v>
      </c>
      <c r="T66" s="35">
        <v>3.3482430000000001</v>
      </c>
      <c r="U66" s="35">
        <v>5.6182790000000002</v>
      </c>
      <c r="V66" s="35">
        <v>7.5159640000000003</v>
      </c>
      <c r="W66" s="35">
        <v>11.46654</v>
      </c>
      <c r="X66" s="35">
        <v>9.8261099999999999</v>
      </c>
    </row>
    <row r="67" spans="1:24" x14ac:dyDescent="0.2">
      <c r="A67" s="26">
        <v>7</v>
      </c>
      <c r="B67" s="27">
        <v>0.64421399999999995</v>
      </c>
      <c r="C67" s="22">
        <v>-0.34475</v>
      </c>
      <c r="D67" s="21"/>
      <c r="E67" s="21"/>
      <c r="F67" s="21"/>
      <c r="G67" s="21"/>
      <c r="H67" s="34">
        <v>7</v>
      </c>
      <c r="I67" s="35">
        <v>5.2365110000000001</v>
      </c>
      <c r="J67" s="35">
        <v>3.0177320000000001</v>
      </c>
      <c r="K67" s="35">
        <v>2.925554</v>
      </c>
      <c r="L67" s="35">
        <v>2.147564</v>
      </c>
      <c r="M67" s="35">
        <v>1.3281909999999999</v>
      </c>
      <c r="N67" s="35">
        <v>1.0250570000000001</v>
      </c>
      <c r="O67" s="35">
        <v>1000</v>
      </c>
      <c r="P67" s="35">
        <v>0.170566</v>
      </c>
      <c r="Q67" s="35">
        <v>1.710402</v>
      </c>
      <c r="R67" s="35">
        <v>1.4058010000000001</v>
      </c>
      <c r="S67" s="35">
        <v>2.952871</v>
      </c>
      <c r="T67" s="35">
        <v>3.9006980000000002</v>
      </c>
      <c r="U67" s="35">
        <v>5.493919</v>
      </c>
      <c r="V67" s="35">
        <v>6.3388640000000001</v>
      </c>
      <c r="W67" s="35">
        <v>9.5348380000000006</v>
      </c>
      <c r="X67" s="35">
        <v>10.4663</v>
      </c>
    </row>
    <row r="68" spans="1:24" x14ac:dyDescent="0.2">
      <c r="A68" s="26">
        <v>8</v>
      </c>
      <c r="B68" s="27">
        <v>0.24018800000000001</v>
      </c>
      <c r="C68" s="22">
        <v>-0.43035000000000001</v>
      </c>
      <c r="D68" s="21"/>
      <c r="E68" s="21"/>
      <c r="F68" s="21"/>
      <c r="G68" s="21"/>
      <c r="H68" s="34">
        <v>8</v>
      </c>
      <c r="I68" s="35">
        <v>5.8849710000000002</v>
      </c>
      <c r="J68" s="35">
        <v>2.966189</v>
      </c>
      <c r="K68" s="35">
        <v>3.488359</v>
      </c>
      <c r="L68" s="35">
        <v>2.7979940000000001</v>
      </c>
      <c r="M68" s="35">
        <v>1.843305</v>
      </c>
      <c r="N68" s="35">
        <v>1.8493889999999999</v>
      </c>
      <c r="O68" s="35">
        <v>0.170566</v>
      </c>
      <c r="P68" s="35">
        <v>1000</v>
      </c>
      <c r="Q68" s="35">
        <v>2.0088349999999999</v>
      </c>
      <c r="R68" s="35">
        <v>0.87835700000000005</v>
      </c>
      <c r="S68" s="35">
        <v>2.8915099999999998</v>
      </c>
      <c r="T68" s="35">
        <v>3.6395279999999999</v>
      </c>
      <c r="U68" s="35">
        <v>4.766362</v>
      </c>
      <c r="V68" s="35">
        <v>5.1647160000000003</v>
      </c>
      <c r="W68" s="35">
        <v>7.8426210000000003</v>
      </c>
      <c r="X68" s="35">
        <v>9.5562939999999994</v>
      </c>
    </row>
    <row r="69" spans="1:24" x14ac:dyDescent="0.2">
      <c r="A69" s="26">
        <v>9</v>
      </c>
      <c r="B69" s="27">
        <v>0.52646599999999999</v>
      </c>
      <c r="C69" s="22">
        <v>0.95776600000000001</v>
      </c>
      <c r="D69" s="21"/>
      <c r="E69" s="21"/>
      <c r="F69" s="21"/>
      <c r="G69" s="21"/>
      <c r="H69" s="34">
        <v>9</v>
      </c>
      <c r="I69" s="35">
        <v>12.518090000000001</v>
      </c>
      <c r="J69" s="35">
        <v>9.2688629999999996</v>
      </c>
      <c r="K69" s="35">
        <v>8.7567039999999992</v>
      </c>
      <c r="L69" s="35">
        <v>7.1724019999999999</v>
      </c>
      <c r="M69" s="35">
        <v>5.6997629999999999</v>
      </c>
      <c r="N69" s="35">
        <v>0.85063800000000001</v>
      </c>
      <c r="O69" s="35">
        <v>1.710402</v>
      </c>
      <c r="P69" s="35">
        <v>2.0088349999999999</v>
      </c>
      <c r="Q69" s="35">
        <v>1000</v>
      </c>
      <c r="R69" s="35">
        <v>1.21777</v>
      </c>
      <c r="S69" s="35">
        <v>0.34708499999999998</v>
      </c>
      <c r="T69" s="35">
        <v>0.82619600000000004</v>
      </c>
      <c r="U69" s="35">
        <v>2.147891</v>
      </c>
      <c r="V69" s="35">
        <v>3.5651649999999999</v>
      </c>
      <c r="W69" s="35">
        <v>6.4652399999999997</v>
      </c>
      <c r="X69" s="35">
        <v>4.8968059999999998</v>
      </c>
    </row>
    <row r="70" spans="1:24" x14ac:dyDescent="0.2">
      <c r="A70" s="26">
        <v>10</v>
      </c>
      <c r="B70" s="27">
        <v>-0.35487999999999997</v>
      </c>
      <c r="C70" s="22">
        <v>0.29369400000000001</v>
      </c>
      <c r="D70" s="21"/>
      <c r="E70" s="21"/>
      <c r="F70" s="21"/>
      <c r="G70" s="21"/>
      <c r="H70" s="34">
        <v>10</v>
      </c>
      <c r="I70" s="35">
        <v>11.3028</v>
      </c>
      <c r="J70" s="35">
        <v>6.8237399999999999</v>
      </c>
      <c r="K70" s="35">
        <v>7.8671239999999996</v>
      </c>
      <c r="L70" s="35">
        <v>6.7730839999999999</v>
      </c>
      <c r="M70" s="35">
        <v>5.225981</v>
      </c>
      <c r="N70" s="35">
        <v>2.718423</v>
      </c>
      <c r="O70" s="35">
        <v>1.4058010000000001</v>
      </c>
      <c r="P70" s="35">
        <v>0.87835700000000005</v>
      </c>
      <c r="Q70" s="35">
        <v>1.21777</v>
      </c>
      <c r="R70" s="35">
        <v>1000</v>
      </c>
      <c r="S70" s="35">
        <v>1.064246</v>
      </c>
      <c r="T70" s="35">
        <v>1.25509</v>
      </c>
      <c r="U70" s="35">
        <v>1.6081620000000001</v>
      </c>
      <c r="V70" s="35">
        <v>1.798635</v>
      </c>
      <c r="W70" s="35">
        <v>3.620692</v>
      </c>
      <c r="X70" s="35">
        <v>4.7394569999999998</v>
      </c>
    </row>
    <row r="71" spans="1:24" x14ac:dyDescent="0.2">
      <c r="A71" s="26">
        <v>11</v>
      </c>
      <c r="B71" s="27">
        <v>1.8112E-2</v>
      </c>
      <c r="C71" s="22">
        <v>1.255525</v>
      </c>
      <c r="D71" s="21"/>
      <c r="E71" s="21"/>
      <c r="F71" s="21"/>
      <c r="G71" s="21"/>
      <c r="H71" s="34">
        <v>11</v>
      </c>
      <c r="I71" s="35">
        <v>16.021039999999999</v>
      </c>
      <c r="J71" s="35">
        <v>11.63862</v>
      </c>
      <c r="K71" s="35">
        <v>11.716469999999999</v>
      </c>
      <c r="L71" s="35">
        <v>9.9883299999999995</v>
      </c>
      <c r="M71" s="35">
        <v>8.1579379999999997</v>
      </c>
      <c r="N71" s="35">
        <v>2.2817720000000001</v>
      </c>
      <c r="O71" s="35">
        <v>2.952871</v>
      </c>
      <c r="P71" s="35">
        <v>2.8915099999999998</v>
      </c>
      <c r="Q71" s="35">
        <v>0.34708499999999998</v>
      </c>
      <c r="R71" s="35">
        <v>1.064246</v>
      </c>
      <c r="S71" s="35">
        <v>1000</v>
      </c>
      <c r="T71" s="35">
        <v>0.102324</v>
      </c>
      <c r="U71" s="35">
        <v>0.79578199999999999</v>
      </c>
      <c r="V71" s="35">
        <v>1.8657170000000001</v>
      </c>
      <c r="W71" s="35">
        <v>4.0696820000000002</v>
      </c>
      <c r="X71" s="35">
        <v>2.652212</v>
      </c>
    </row>
    <row r="72" spans="1:24" x14ac:dyDescent="0.2">
      <c r="A72" s="26">
        <v>12</v>
      </c>
      <c r="B72" s="27">
        <v>-0.26191999999999999</v>
      </c>
      <c r="C72" s="22">
        <v>1.4101379999999999</v>
      </c>
      <c r="D72" s="21"/>
      <c r="E72" s="21"/>
      <c r="F72" s="21"/>
      <c r="G72" s="21"/>
      <c r="H72" s="34">
        <v>12</v>
      </c>
      <c r="I72" s="35">
        <v>18.17557</v>
      </c>
      <c r="J72" s="35">
        <v>13.174770000000001</v>
      </c>
      <c r="K72" s="35">
        <v>13.58188</v>
      </c>
      <c r="L72" s="35">
        <v>11.78041</v>
      </c>
      <c r="M72" s="35">
        <v>9.7572949999999992</v>
      </c>
      <c r="N72" s="35">
        <v>3.3482430000000001</v>
      </c>
      <c r="O72" s="35">
        <v>3.9006980000000002</v>
      </c>
      <c r="P72" s="35">
        <v>3.6395279999999999</v>
      </c>
      <c r="Q72" s="35">
        <v>0.82619600000000004</v>
      </c>
      <c r="R72" s="35">
        <v>1.25509</v>
      </c>
      <c r="S72" s="35">
        <v>0.102324</v>
      </c>
      <c r="T72" s="35">
        <v>1000</v>
      </c>
      <c r="U72" s="35">
        <v>0.34834799999999999</v>
      </c>
      <c r="V72" s="35">
        <v>1.221965</v>
      </c>
      <c r="W72" s="35">
        <v>3.0434969999999999</v>
      </c>
      <c r="X72" s="35">
        <v>1.7285280000000001</v>
      </c>
    </row>
    <row r="73" spans="1:24" x14ac:dyDescent="0.2">
      <c r="A73" s="26">
        <v>13</v>
      </c>
      <c r="B73" s="27">
        <v>-0.84992000000000001</v>
      </c>
      <c r="C73" s="22">
        <v>1.461214</v>
      </c>
      <c r="D73" s="21"/>
      <c r="E73" s="21"/>
      <c r="F73" s="21"/>
      <c r="G73" s="21"/>
      <c r="H73" s="34">
        <v>13</v>
      </c>
      <c r="I73" s="35">
        <v>21.183109999999999</v>
      </c>
      <c r="J73" s="35">
        <v>15.0542</v>
      </c>
      <c r="K73" s="35">
        <v>16.276129999999998</v>
      </c>
      <c r="L73" s="35">
        <v>14.492100000000001</v>
      </c>
      <c r="M73" s="35">
        <v>12.19082</v>
      </c>
      <c r="N73" s="35">
        <v>5.6182790000000002</v>
      </c>
      <c r="O73" s="35">
        <v>5.493919</v>
      </c>
      <c r="P73" s="35">
        <v>4.766362</v>
      </c>
      <c r="Q73" s="35">
        <v>2.147891</v>
      </c>
      <c r="R73" s="35">
        <v>1.6081620000000001</v>
      </c>
      <c r="S73" s="35">
        <v>0.79578199999999999</v>
      </c>
      <c r="T73" s="35">
        <v>0.34834799999999999</v>
      </c>
      <c r="U73" s="35">
        <v>1000</v>
      </c>
      <c r="V73" s="35">
        <v>0.316635</v>
      </c>
      <c r="W73" s="35">
        <v>1.365022</v>
      </c>
      <c r="X73" s="35">
        <v>0.82744799999999996</v>
      </c>
    </row>
    <row r="74" spans="1:24" x14ac:dyDescent="0.2">
      <c r="A74" s="26">
        <v>14</v>
      </c>
      <c r="B74" s="27">
        <v>-1.34653</v>
      </c>
      <c r="C74" s="22">
        <v>1.1966190000000001</v>
      </c>
      <c r="D74" s="21"/>
      <c r="E74" s="21"/>
      <c r="F74" s="21"/>
      <c r="G74" s="21"/>
      <c r="H74" s="34">
        <v>14</v>
      </c>
      <c r="I74" s="35">
        <v>21.963339999999999</v>
      </c>
      <c r="J74" s="35">
        <v>15.073230000000001</v>
      </c>
      <c r="K74" s="35">
        <v>17.122199999999999</v>
      </c>
      <c r="L74" s="35">
        <v>15.54575</v>
      </c>
      <c r="M74" s="35">
        <v>13.15184</v>
      </c>
      <c r="N74" s="35">
        <v>7.5159640000000003</v>
      </c>
      <c r="O74" s="35">
        <v>6.3388640000000001</v>
      </c>
      <c r="P74" s="35">
        <v>5.1647160000000003</v>
      </c>
      <c r="Q74" s="35">
        <v>3.5651649999999999</v>
      </c>
      <c r="R74" s="35">
        <v>1.798635</v>
      </c>
      <c r="S74" s="35">
        <v>1.8657170000000001</v>
      </c>
      <c r="T74" s="35">
        <v>1.221965</v>
      </c>
      <c r="U74" s="35">
        <v>0.316635</v>
      </c>
      <c r="V74" s="35">
        <v>1000</v>
      </c>
      <c r="W74" s="35">
        <v>0.42899500000000002</v>
      </c>
      <c r="X74" s="35">
        <v>1.180374</v>
      </c>
    </row>
    <row r="75" spans="1:24" x14ac:dyDescent="0.2">
      <c r="A75" s="26">
        <v>15</v>
      </c>
      <c r="B75" s="27">
        <v>-1.9992300000000001</v>
      </c>
      <c r="C75" s="22">
        <v>1.2512019999999999</v>
      </c>
      <c r="D75" s="21"/>
      <c r="E75" s="21"/>
      <c r="F75" s="21"/>
      <c r="G75" s="21"/>
      <c r="H75" s="34">
        <v>15</v>
      </c>
      <c r="I75" s="35">
        <v>26.720610000000001</v>
      </c>
      <c r="J75" s="35">
        <v>18.57957</v>
      </c>
      <c r="K75" s="35">
        <v>21.53398</v>
      </c>
      <c r="L75" s="35">
        <v>19.978210000000001</v>
      </c>
      <c r="M75" s="35">
        <v>17.276520000000001</v>
      </c>
      <c r="N75" s="35">
        <v>11.46654</v>
      </c>
      <c r="O75" s="35">
        <v>9.5348380000000006</v>
      </c>
      <c r="P75" s="35">
        <v>7.8426210000000003</v>
      </c>
      <c r="Q75" s="35">
        <v>6.4652399999999997</v>
      </c>
      <c r="R75" s="35">
        <v>3.620692</v>
      </c>
      <c r="S75" s="35">
        <v>4.0696820000000002</v>
      </c>
      <c r="T75" s="35">
        <v>3.0434969999999999</v>
      </c>
      <c r="U75" s="35">
        <v>1.365022</v>
      </c>
      <c r="V75" s="35">
        <v>0.42899500000000002</v>
      </c>
      <c r="W75" s="35">
        <v>1000</v>
      </c>
      <c r="X75" s="35">
        <v>1.6186609999999999</v>
      </c>
    </row>
    <row r="76" spans="1:24" x14ac:dyDescent="0.2">
      <c r="A76" s="26">
        <v>16</v>
      </c>
      <c r="B76" s="27">
        <v>-1.24892</v>
      </c>
      <c r="C76" s="22">
        <v>2.2786749999999998</v>
      </c>
      <c r="D76" s="21"/>
      <c r="E76" s="21"/>
      <c r="F76" s="21"/>
      <c r="G76" s="21"/>
      <c r="H76" s="34">
        <v>16</v>
      </c>
      <c r="I76" s="35">
        <v>30.31841</v>
      </c>
      <c r="J76" s="35">
        <v>22.936630000000001</v>
      </c>
      <c r="K76" s="35">
        <v>24.358239999999999</v>
      </c>
      <c r="L76" s="35">
        <v>22.095510000000001</v>
      </c>
      <c r="M76" s="35">
        <v>19.243500000000001</v>
      </c>
      <c r="N76" s="35">
        <v>9.8261099999999999</v>
      </c>
      <c r="O76" s="35">
        <v>10.4663</v>
      </c>
      <c r="P76" s="35">
        <v>9.5562939999999994</v>
      </c>
      <c r="Q76" s="35">
        <v>4.8968059999999998</v>
      </c>
      <c r="R76" s="35">
        <v>4.7394569999999998</v>
      </c>
      <c r="S76" s="35">
        <v>2.652212</v>
      </c>
      <c r="T76" s="35">
        <v>1.7285280000000001</v>
      </c>
      <c r="U76" s="35">
        <v>0.82744799999999996</v>
      </c>
      <c r="V76" s="35">
        <v>1.180374</v>
      </c>
      <c r="W76" s="35">
        <v>1.6186609999999999</v>
      </c>
      <c r="X76" s="35">
        <v>1000</v>
      </c>
    </row>
    <row r="77" spans="1:24" x14ac:dyDescent="0.2">
      <c r="A77" s="21"/>
      <c r="B77" s="21"/>
      <c r="C77" s="21"/>
      <c r="D77" s="21"/>
      <c r="E77" s="21"/>
      <c r="F77" s="21"/>
      <c r="G77" s="21"/>
      <c r="H77" s="36"/>
      <c r="I77" s="36"/>
      <c r="J77" s="36"/>
      <c r="K77" s="36"/>
      <c r="L77" s="36"/>
      <c r="M77" s="36"/>
      <c r="N77" s="36"/>
      <c r="O77" s="36"/>
      <c r="P77" s="36"/>
      <c r="Q77" s="36"/>
      <c r="R77" s="36"/>
      <c r="S77" s="36"/>
      <c r="T77" s="36"/>
      <c r="U77" s="36"/>
      <c r="V77" s="36"/>
      <c r="W77" s="36"/>
      <c r="X77" s="36"/>
    </row>
    <row r="78" spans="1:24" x14ac:dyDescent="0.2">
      <c r="A78" s="21"/>
      <c r="B78" s="21"/>
      <c r="C78" s="21"/>
      <c r="D78" s="21"/>
      <c r="E78" s="21"/>
      <c r="F78" s="21"/>
      <c r="G78" s="21"/>
      <c r="H78" s="36"/>
      <c r="I78" s="36"/>
      <c r="J78" s="36"/>
      <c r="K78" s="36"/>
      <c r="L78" s="36"/>
      <c r="M78" s="36"/>
      <c r="N78" s="36"/>
      <c r="O78" s="36"/>
      <c r="P78" s="36"/>
      <c r="Q78" s="36"/>
      <c r="R78" s="36"/>
      <c r="S78" s="36"/>
      <c r="T78" s="36"/>
      <c r="U78" s="36"/>
      <c r="V78" s="36"/>
      <c r="W78" s="36"/>
      <c r="X78" s="36"/>
    </row>
    <row r="79" spans="1:24" x14ac:dyDescent="0.2">
      <c r="A79" s="21"/>
      <c r="B79" s="21"/>
      <c r="C79" s="21"/>
      <c r="D79" s="21"/>
      <c r="E79" s="21"/>
      <c r="F79" s="21"/>
      <c r="G79" s="21"/>
      <c r="H79" s="21"/>
      <c r="I79" s="21"/>
      <c r="J79" s="21"/>
      <c r="K79" s="21"/>
      <c r="L79" s="21"/>
      <c r="M79" s="21"/>
      <c r="N79" s="21"/>
      <c r="O79" s="21"/>
      <c r="P79" s="21"/>
      <c r="Q79" s="21"/>
      <c r="R79" s="21"/>
      <c r="S79" s="21"/>
      <c r="T79" s="21"/>
      <c r="U79" s="21"/>
      <c r="V79" s="21"/>
      <c r="W79" s="21"/>
      <c r="X79" s="21"/>
    </row>
    <row r="80" spans="1:24" x14ac:dyDescent="0.2">
      <c r="A80" s="21"/>
      <c r="B80" s="21"/>
      <c r="C80" s="21"/>
      <c r="D80" s="21"/>
      <c r="E80" s="21"/>
      <c r="F80" s="21"/>
      <c r="G80" s="21"/>
      <c r="H80" s="21"/>
      <c r="I80" s="21"/>
      <c r="J80" s="21"/>
      <c r="K80" s="21"/>
      <c r="L80" s="21"/>
      <c r="M80" s="21"/>
      <c r="N80" s="21"/>
      <c r="O80" s="21"/>
      <c r="P80" s="21"/>
      <c r="Q80" s="21"/>
      <c r="R80" s="21"/>
      <c r="S80" s="21"/>
      <c r="T80" s="21"/>
      <c r="U80" s="21"/>
      <c r="V80" s="21"/>
      <c r="W80" s="21"/>
      <c r="X80" s="21"/>
    </row>
    <row r="81" spans="1:24" x14ac:dyDescent="0.2">
      <c r="A81" s="21"/>
      <c r="B81" s="21"/>
      <c r="C81" s="21"/>
      <c r="D81" s="21"/>
      <c r="E81" s="21"/>
      <c r="F81" s="21"/>
      <c r="G81" s="21"/>
      <c r="H81" s="32"/>
      <c r="I81" s="33">
        <v>1</v>
      </c>
      <c r="J81" s="33">
        <v>2</v>
      </c>
      <c r="K81" s="33">
        <v>3</v>
      </c>
      <c r="L81" s="33">
        <v>4</v>
      </c>
      <c r="M81" s="33">
        <v>5</v>
      </c>
      <c r="N81" s="33">
        <v>6</v>
      </c>
      <c r="O81" s="33">
        <v>7</v>
      </c>
      <c r="P81" s="33">
        <v>8</v>
      </c>
      <c r="Q81" s="33">
        <v>9</v>
      </c>
      <c r="R81" s="33">
        <v>10</v>
      </c>
      <c r="S81" s="33">
        <v>11</v>
      </c>
      <c r="T81" s="33">
        <v>12</v>
      </c>
      <c r="U81" s="33">
        <v>13</v>
      </c>
      <c r="V81" s="33">
        <v>14</v>
      </c>
      <c r="W81" s="33">
        <v>15</v>
      </c>
      <c r="X81" s="33">
        <v>16</v>
      </c>
    </row>
    <row r="82" spans="1:24" x14ac:dyDescent="0.2">
      <c r="A82" s="21"/>
      <c r="B82" s="21"/>
      <c r="C82" s="21"/>
      <c r="D82" s="21"/>
      <c r="E82" s="21"/>
      <c r="F82" s="21"/>
      <c r="G82" s="21"/>
      <c r="H82" s="34">
        <v>1</v>
      </c>
      <c r="I82" s="35">
        <v>241</v>
      </c>
      <c r="J82" s="35">
        <v>40</v>
      </c>
      <c r="K82" s="35">
        <v>13</v>
      </c>
      <c r="L82" s="35">
        <v>24</v>
      </c>
      <c r="M82" s="35">
        <v>53</v>
      </c>
      <c r="N82" s="35">
        <v>161</v>
      </c>
      <c r="O82" s="35">
        <v>131</v>
      </c>
      <c r="P82" s="35">
        <v>141</v>
      </c>
      <c r="Q82" s="35">
        <v>193</v>
      </c>
      <c r="R82" s="35">
        <v>181</v>
      </c>
      <c r="S82" s="35">
        <v>209</v>
      </c>
      <c r="T82" s="35">
        <v>217</v>
      </c>
      <c r="U82" s="35">
        <v>225</v>
      </c>
      <c r="V82" s="35">
        <v>229</v>
      </c>
      <c r="W82" s="35">
        <v>237</v>
      </c>
      <c r="X82" s="35">
        <v>239</v>
      </c>
    </row>
    <row r="83" spans="1:24" x14ac:dyDescent="0.2">
      <c r="A83" s="21"/>
      <c r="B83" s="21"/>
      <c r="C83" s="21"/>
      <c r="D83" s="21"/>
      <c r="E83" s="21"/>
      <c r="F83" s="21"/>
      <c r="G83" s="21"/>
      <c r="H83" s="34">
        <v>2</v>
      </c>
      <c r="I83" s="35">
        <v>21</v>
      </c>
      <c r="J83" s="35">
        <v>241</v>
      </c>
      <c r="K83" s="35">
        <v>21</v>
      </c>
      <c r="L83" s="35">
        <v>34</v>
      </c>
      <c r="M83" s="35">
        <v>38</v>
      </c>
      <c r="N83" s="35">
        <v>147</v>
      </c>
      <c r="O83" s="35">
        <v>99</v>
      </c>
      <c r="P83" s="35">
        <v>97</v>
      </c>
      <c r="Q83" s="35">
        <v>167</v>
      </c>
      <c r="R83" s="35">
        <v>151</v>
      </c>
      <c r="S83" s="35">
        <v>185</v>
      </c>
      <c r="T83" s="35">
        <v>197</v>
      </c>
      <c r="U83" s="35">
        <v>203</v>
      </c>
      <c r="V83" s="35">
        <v>205</v>
      </c>
      <c r="W83" s="35">
        <v>219</v>
      </c>
      <c r="X83" s="35">
        <v>233</v>
      </c>
    </row>
    <row r="84" spans="1:24" x14ac:dyDescent="0.2">
      <c r="A84" s="21"/>
      <c r="B84" s="21"/>
      <c r="C84" s="21"/>
      <c r="D84" s="21"/>
      <c r="E84" s="21"/>
      <c r="F84" s="21"/>
      <c r="G84" s="21"/>
      <c r="H84" s="34">
        <v>3</v>
      </c>
      <c r="I84" s="35">
        <v>13</v>
      </c>
      <c r="J84" s="35">
        <v>21</v>
      </c>
      <c r="K84" s="35">
        <v>241</v>
      </c>
      <c r="L84" s="35">
        <v>1</v>
      </c>
      <c r="M84" s="35">
        <v>11</v>
      </c>
      <c r="N84" s="35">
        <v>133</v>
      </c>
      <c r="O84" s="35">
        <v>93</v>
      </c>
      <c r="P84" s="35">
        <v>107</v>
      </c>
      <c r="Q84" s="35">
        <v>165</v>
      </c>
      <c r="R84" s="35">
        <v>159</v>
      </c>
      <c r="S84" s="35">
        <v>187</v>
      </c>
      <c r="T84" s="35">
        <v>199</v>
      </c>
      <c r="U84" s="35">
        <v>211</v>
      </c>
      <c r="V84" s="35">
        <v>213</v>
      </c>
      <c r="W84" s="35">
        <v>227</v>
      </c>
      <c r="X84" s="35">
        <v>235</v>
      </c>
    </row>
    <row r="85" spans="1:24" x14ac:dyDescent="0.2">
      <c r="A85" s="21"/>
      <c r="B85" s="21"/>
      <c r="C85" s="21"/>
      <c r="D85" s="21"/>
      <c r="E85" s="21"/>
      <c r="F85" s="21"/>
      <c r="G85" s="21"/>
      <c r="H85" s="34">
        <v>4</v>
      </c>
      <c r="I85" s="35">
        <v>24</v>
      </c>
      <c r="J85" s="35">
        <v>34</v>
      </c>
      <c r="K85" s="35">
        <v>1</v>
      </c>
      <c r="L85" s="35">
        <v>241</v>
      </c>
      <c r="M85" s="35">
        <v>3</v>
      </c>
      <c r="N85" s="35">
        <v>117</v>
      </c>
      <c r="O85" s="35">
        <v>79</v>
      </c>
      <c r="P85" s="35">
        <v>89</v>
      </c>
      <c r="Q85" s="35">
        <v>153</v>
      </c>
      <c r="R85" s="35">
        <v>149</v>
      </c>
      <c r="S85" s="35">
        <v>177</v>
      </c>
      <c r="T85" s="35">
        <v>189</v>
      </c>
      <c r="U85" s="35">
        <v>201</v>
      </c>
      <c r="V85" s="35">
        <v>207</v>
      </c>
      <c r="W85" s="35">
        <v>223</v>
      </c>
      <c r="X85" s="35">
        <v>231</v>
      </c>
    </row>
    <row r="86" spans="1:24" x14ac:dyDescent="0.2">
      <c r="A86" s="21"/>
      <c r="B86" s="21"/>
      <c r="C86" s="21"/>
      <c r="D86" s="21"/>
      <c r="E86" s="21"/>
      <c r="F86" s="21"/>
      <c r="G86" s="21"/>
      <c r="H86" s="34">
        <v>5</v>
      </c>
      <c r="I86" s="35">
        <v>53</v>
      </c>
      <c r="J86" s="35">
        <v>38</v>
      </c>
      <c r="K86" s="35">
        <v>11</v>
      </c>
      <c r="L86" s="35">
        <v>3</v>
      </c>
      <c r="M86" s="35">
        <v>241</v>
      </c>
      <c r="N86" s="35">
        <v>103</v>
      </c>
      <c r="O86" s="35">
        <v>55</v>
      </c>
      <c r="P86" s="35">
        <v>71</v>
      </c>
      <c r="Q86" s="35">
        <v>139</v>
      </c>
      <c r="R86" s="35">
        <v>129</v>
      </c>
      <c r="S86" s="35">
        <v>163</v>
      </c>
      <c r="T86" s="35">
        <v>173</v>
      </c>
      <c r="U86" s="35">
        <v>191</v>
      </c>
      <c r="V86" s="35">
        <v>195</v>
      </c>
      <c r="W86" s="35">
        <v>215</v>
      </c>
      <c r="X86" s="35">
        <v>221</v>
      </c>
    </row>
    <row r="87" spans="1:24" x14ac:dyDescent="0.2">
      <c r="A87" s="21"/>
      <c r="B87" s="21"/>
      <c r="C87" s="21"/>
      <c r="D87" s="21"/>
      <c r="E87" s="21"/>
      <c r="F87" s="21"/>
      <c r="G87" s="21"/>
      <c r="H87" s="34">
        <v>6</v>
      </c>
      <c r="I87" s="35">
        <v>161</v>
      </c>
      <c r="J87" s="35">
        <v>147</v>
      </c>
      <c r="K87" s="35">
        <v>133</v>
      </c>
      <c r="L87" s="35">
        <v>117</v>
      </c>
      <c r="M87" s="35">
        <v>103</v>
      </c>
      <c r="N87" s="35">
        <v>241</v>
      </c>
      <c r="O87" s="35">
        <v>41</v>
      </c>
      <c r="P87" s="35">
        <v>73</v>
      </c>
      <c r="Q87" s="35">
        <v>32</v>
      </c>
      <c r="R87" s="35">
        <v>87</v>
      </c>
      <c r="S87" s="35">
        <v>83</v>
      </c>
      <c r="T87" s="35">
        <v>105</v>
      </c>
      <c r="U87" s="35">
        <v>137</v>
      </c>
      <c r="V87" s="35">
        <v>155</v>
      </c>
      <c r="W87" s="35">
        <v>183</v>
      </c>
      <c r="X87" s="35">
        <v>175</v>
      </c>
    </row>
    <row r="88" spans="1:24" x14ac:dyDescent="0.2">
      <c r="A88" s="21"/>
      <c r="B88" s="21"/>
      <c r="C88" s="21"/>
      <c r="D88" s="21"/>
      <c r="E88" s="21"/>
      <c r="F88" s="21"/>
      <c r="G88" s="21"/>
      <c r="H88" s="34">
        <v>7</v>
      </c>
      <c r="I88" s="35">
        <v>131</v>
      </c>
      <c r="J88" s="35">
        <v>99</v>
      </c>
      <c r="K88" s="35">
        <v>93</v>
      </c>
      <c r="L88" s="35">
        <v>79</v>
      </c>
      <c r="M88" s="35">
        <v>55</v>
      </c>
      <c r="N88" s="35">
        <v>41</v>
      </c>
      <c r="O88" s="35">
        <v>241</v>
      </c>
      <c r="P88" s="35">
        <v>7</v>
      </c>
      <c r="Q88" s="35">
        <v>65</v>
      </c>
      <c r="R88" s="35">
        <v>59</v>
      </c>
      <c r="S88" s="35">
        <v>95</v>
      </c>
      <c r="T88" s="35">
        <v>115</v>
      </c>
      <c r="U88" s="35">
        <v>135</v>
      </c>
      <c r="V88" s="35">
        <v>143</v>
      </c>
      <c r="W88" s="35">
        <v>169</v>
      </c>
      <c r="X88" s="35">
        <v>179</v>
      </c>
    </row>
    <row r="89" spans="1:24" x14ac:dyDescent="0.2">
      <c r="A89" s="21"/>
      <c r="B89" s="21"/>
      <c r="C89" s="21"/>
      <c r="D89" s="21"/>
      <c r="E89" s="21"/>
      <c r="F89" s="21"/>
      <c r="G89" s="21"/>
      <c r="H89" s="34">
        <v>8</v>
      </c>
      <c r="I89" s="35">
        <v>141</v>
      </c>
      <c r="J89" s="35">
        <v>97</v>
      </c>
      <c r="K89" s="35">
        <v>107</v>
      </c>
      <c r="L89" s="35">
        <v>89</v>
      </c>
      <c r="M89" s="35">
        <v>71</v>
      </c>
      <c r="N89" s="35">
        <v>73</v>
      </c>
      <c r="O89" s="35">
        <v>7</v>
      </c>
      <c r="P89" s="35">
        <v>241</v>
      </c>
      <c r="Q89" s="35">
        <v>77</v>
      </c>
      <c r="R89" s="35">
        <v>36</v>
      </c>
      <c r="S89" s="35">
        <v>91</v>
      </c>
      <c r="T89" s="35">
        <v>113</v>
      </c>
      <c r="U89" s="35">
        <v>123</v>
      </c>
      <c r="V89" s="35">
        <v>127</v>
      </c>
      <c r="W89" s="35">
        <v>157</v>
      </c>
      <c r="X89" s="35">
        <v>171</v>
      </c>
    </row>
    <row r="90" spans="1:24" x14ac:dyDescent="0.2">
      <c r="A90" s="21"/>
      <c r="B90" s="21"/>
      <c r="C90" s="21"/>
      <c r="D90" s="21"/>
      <c r="E90" s="21"/>
      <c r="F90" s="21"/>
      <c r="G90" s="21"/>
      <c r="H90" s="34">
        <v>9</v>
      </c>
      <c r="I90" s="35">
        <v>193</v>
      </c>
      <c r="J90" s="35">
        <v>167</v>
      </c>
      <c r="K90" s="35">
        <v>165</v>
      </c>
      <c r="L90" s="35">
        <v>153</v>
      </c>
      <c r="M90" s="35">
        <v>139</v>
      </c>
      <c r="N90" s="35">
        <v>32</v>
      </c>
      <c r="O90" s="35">
        <v>65</v>
      </c>
      <c r="P90" s="35">
        <v>77</v>
      </c>
      <c r="Q90" s="35">
        <v>241</v>
      </c>
      <c r="R90" s="35">
        <v>47</v>
      </c>
      <c r="S90" s="35">
        <v>15</v>
      </c>
      <c r="T90" s="35">
        <v>28</v>
      </c>
      <c r="U90" s="35">
        <v>81</v>
      </c>
      <c r="V90" s="35">
        <v>109</v>
      </c>
      <c r="W90" s="35">
        <v>145</v>
      </c>
      <c r="X90" s="35">
        <v>125</v>
      </c>
    </row>
    <row r="91" spans="1:24" x14ac:dyDescent="0.2">
      <c r="A91" s="21"/>
      <c r="B91" s="21"/>
      <c r="C91" s="21"/>
      <c r="D91" s="21"/>
      <c r="E91" s="21"/>
      <c r="F91" s="21"/>
      <c r="G91" s="21"/>
      <c r="H91" s="34">
        <v>10</v>
      </c>
      <c r="I91" s="35">
        <v>181</v>
      </c>
      <c r="J91" s="35">
        <v>151</v>
      </c>
      <c r="K91" s="35">
        <v>159</v>
      </c>
      <c r="L91" s="35">
        <v>149</v>
      </c>
      <c r="M91" s="35">
        <v>129</v>
      </c>
      <c r="N91" s="35">
        <v>87</v>
      </c>
      <c r="O91" s="35">
        <v>59</v>
      </c>
      <c r="P91" s="35">
        <v>36</v>
      </c>
      <c r="Q91" s="35">
        <v>47</v>
      </c>
      <c r="R91" s="35">
        <v>241</v>
      </c>
      <c r="S91" s="35">
        <v>43</v>
      </c>
      <c r="T91" s="35">
        <v>51</v>
      </c>
      <c r="U91" s="35">
        <v>61</v>
      </c>
      <c r="V91" s="35">
        <v>69</v>
      </c>
      <c r="W91" s="35">
        <v>111</v>
      </c>
      <c r="X91" s="35">
        <v>121</v>
      </c>
    </row>
    <row r="92" spans="1:24" x14ac:dyDescent="0.2">
      <c r="A92" s="21"/>
      <c r="B92" s="21"/>
      <c r="C92" s="21"/>
      <c r="D92" s="21"/>
      <c r="E92" s="21"/>
      <c r="F92" s="21"/>
      <c r="G92" s="21"/>
      <c r="H92" s="34">
        <v>11</v>
      </c>
      <c r="I92" s="35">
        <v>209</v>
      </c>
      <c r="J92" s="35">
        <v>185</v>
      </c>
      <c r="K92" s="35">
        <v>187</v>
      </c>
      <c r="L92" s="35">
        <v>177</v>
      </c>
      <c r="M92" s="35">
        <v>163</v>
      </c>
      <c r="N92" s="35">
        <v>83</v>
      </c>
      <c r="O92" s="35">
        <v>95</v>
      </c>
      <c r="P92" s="35">
        <v>91</v>
      </c>
      <c r="Q92" s="35">
        <v>15</v>
      </c>
      <c r="R92" s="35">
        <v>43</v>
      </c>
      <c r="S92" s="35">
        <v>241</v>
      </c>
      <c r="T92" s="35">
        <v>5</v>
      </c>
      <c r="U92" s="35">
        <v>26</v>
      </c>
      <c r="V92" s="35">
        <v>75</v>
      </c>
      <c r="W92" s="35">
        <v>119</v>
      </c>
      <c r="X92" s="35">
        <v>85</v>
      </c>
    </row>
    <row r="93" spans="1:24" x14ac:dyDescent="0.2">
      <c r="A93" s="23" t="s">
        <v>40</v>
      </c>
      <c r="B93" s="23">
        <v>0.98936299999999999</v>
      </c>
      <c r="C93" s="21"/>
      <c r="D93" s="21"/>
      <c r="E93" s="21"/>
      <c r="F93" s="21"/>
      <c r="G93" s="21"/>
      <c r="H93" s="34">
        <v>12</v>
      </c>
      <c r="I93" s="35">
        <v>217</v>
      </c>
      <c r="J93" s="35">
        <v>197</v>
      </c>
      <c r="K93" s="35">
        <v>199</v>
      </c>
      <c r="L93" s="35">
        <v>189</v>
      </c>
      <c r="M93" s="35">
        <v>173</v>
      </c>
      <c r="N93" s="35">
        <v>105</v>
      </c>
      <c r="O93" s="35">
        <v>115</v>
      </c>
      <c r="P93" s="35">
        <v>113</v>
      </c>
      <c r="Q93" s="35">
        <v>28</v>
      </c>
      <c r="R93" s="35">
        <v>51</v>
      </c>
      <c r="S93" s="35">
        <v>5</v>
      </c>
      <c r="T93" s="35">
        <v>241</v>
      </c>
      <c r="U93" s="35">
        <v>17</v>
      </c>
      <c r="V93" s="35">
        <v>49</v>
      </c>
      <c r="W93" s="35">
        <v>101</v>
      </c>
      <c r="X93" s="35">
        <v>67</v>
      </c>
    </row>
    <row r="94" spans="1:24" x14ac:dyDescent="0.2">
      <c r="A94" s="21"/>
      <c r="B94" s="21"/>
      <c r="C94" s="21"/>
      <c r="D94" s="21"/>
      <c r="E94" s="21"/>
      <c r="F94" s="21"/>
      <c r="G94" s="21"/>
      <c r="H94" s="34">
        <v>13</v>
      </c>
      <c r="I94" s="35">
        <v>225</v>
      </c>
      <c r="J94" s="35">
        <v>203</v>
      </c>
      <c r="K94" s="35">
        <v>211</v>
      </c>
      <c r="L94" s="35">
        <v>201</v>
      </c>
      <c r="M94" s="35">
        <v>191</v>
      </c>
      <c r="N94" s="35">
        <v>137</v>
      </c>
      <c r="O94" s="35">
        <v>135</v>
      </c>
      <c r="P94" s="35">
        <v>123</v>
      </c>
      <c r="Q94" s="35">
        <v>81</v>
      </c>
      <c r="R94" s="35">
        <v>61</v>
      </c>
      <c r="S94" s="35">
        <v>26</v>
      </c>
      <c r="T94" s="35">
        <v>17</v>
      </c>
      <c r="U94" s="35">
        <v>241</v>
      </c>
      <c r="V94" s="35">
        <v>9</v>
      </c>
      <c r="W94" s="35">
        <v>57</v>
      </c>
      <c r="X94" s="35">
        <v>30</v>
      </c>
    </row>
    <row r="95" spans="1:24" x14ac:dyDescent="0.2">
      <c r="A95" s="21"/>
      <c r="B95" s="21"/>
      <c r="C95" s="21"/>
      <c r="D95" s="21"/>
      <c r="E95" s="21"/>
      <c r="F95" s="21"/>
      <c r="G95" s="21"/>
      <c r="H95" s="34">
        <v>14</v>
      </c>
      <c r="I95" s="35">
        <v>229</v>
      </c>
      <c r="J95" s="35">
        <v>205</v>
      </c>
      <c r="K95" s="35">
        <v>213</v>
      </c>
      <c r="L95" s="35">
        <v>207</v>
      </c>
      <c r="M95" s="35">
        <v>195</v>
      </c>
      <c r="N95" s="35">
        <v>155</v>
      </c>
      <c r="O95" s="35">
        <v>143</v>
      </c>
      <c r="P95" s="35">
        <v>127</v>
      </c>
      <c r="Q95" s="35">
        <v>109</v>
      </c>
      <c r="R95" s="35">
        <v>69</v>
      </c>
      <c r="S95" s="35">
        <v>75</v>
      </c>
      <c r="T95" s="35">
        <v>49</v>
      </c>
      <c r="U95" s="35">
        <v>9</v>
      </c>
      <c r="V95" s="35">
        <v>241</v>
      </c>
      <c r="W95" s="35">
        <v>19</v>
      </c>
      <c r="X95" s="35">
        <v>45</v>
      </c>
    </row>
    <row r="96" spans="1:24" x14ac:dyDescent="0.2">
      <c r="A96" s="21"/>
      <c r="B96" s="21"/>
      <c r="C96" s="21"/>
      <c r="D96" s="21"/>
      <c r="E96" s="21"/>
      <c r="F96" s="21"/>
      <c r="G96" s="21"/>
      <c r="H96" s="34">
        <v>15</v>
      </c>
      <c r="I96" s="35">
        <v>237</v>
      </c>
      <c r="J96" s="35">
        <v>219</v>
      </c>
      <c r="K96" s="35">
        <v>227</v>
      </c>
      <c r="L96" s="35">
        <v>223</v>
      </c>
      <c r="M96" s="35">
        <v>215</v>
      </c>
      <c r="N96" s="35">
        <v>183</v>
      </c>
      <c r="O96" s="35">
        <v>169</v>
      </c>
      <c r="P96" s="35">
        <v>157</v>
      </c>
      <c r="Q96" s="35">
        <v>145</v>
      </c>
      <c r="R96" s="35">
        <v>111</v>
      </c>
      <c r="S96" s="35">
        <v>119</v>
      </c>
      <c r="T96" s="35">
        <v>101</v>
      </c>
      <c r="U96" s="35">
        <v>57</v>
      </c>
      <c r="V96" s="35">
        <v>19</v>
      </c>
      <c r="W96" s="35">
        <v>241</v>
      </c>
      <c r="X96" s="35">
        <v>63</v>
      </c>
    </row>
    <row r="97" spans="1:24" x14ac:dyDescent="0.2">
      <c r="A97" s="21"/>
      <c r="B97" s="21"/>
      <c r="C97" s="21"/>
      <c r="D97" s="21"/>
      <c r="E97" s="21"/>
      <c r="F97" s="21"/>
      <c r="G97" s="21"/>
      <c r="H97" s="34">
        <v>16</v>
      </c>
      <c r="I97" s="35">
        <v>239</v>
      </c>
      <c r="J97" s="35">
        <v>233</v>
      </c>
      <c r="K97" s="35">
        <v>235</v>
      </c>
      <c r="L97" s="35">
        <v>231</v>
      </c>
      <c r="M97" s="35">
        <v>221</v>
      </c>
      <c r="N97" s="35">
        <v>175</v>
      </c>
      <c r="O97" s="35">
        <v>179</v>
      </c>
      <c r="P97" s="35">
        <v>171</v>
      </c>
      <c r="Q97" s="35">
        <v>125</v>
      </c>
      <c r="R97" s="35">
        <v>121</v>
      </c>
      <c r="S97" s="35">
        <v>85</v>
      </c>
      <c r="T97" s="35">
        <v>67</v>
      </c>
      <c r="U97" s="35">
        <v>30</v>
      </c>
      <c r="V97" s="35">
        <v>45</v>
      </c>
      <c r="W97" s="35">
        <v>63</v>
      </c>
      <c r="X97" s="35">
        <v>241</v>
      </c>
    </row>
    <row r="98" spans="1:24" x14ac:dyDescent="0.2">
      <c r="H98" s="21"/>
      <c r="I98" s="21"/>
      <c r="J98" s="21"/>
      <c r="K98" s="21"/>
    </row>
    <row r="99" spans="1:24" x14ac:dyDescent="0.2">
      <c r="H99" s="21"/>
      <c r="I99" s="21"/>
      <c r="J99" s="21"/>
      <c r="K99" s="21"/>
    </row>
  </sheetData>
  <mergeCells count="1">
    <mergeCell ref="B14:F1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Cluster Analysis</vt:lpstr>
      <vt:lpstr>Cluster Analysis 4</vt:lpstr>
      <vt:lpstr>MDS Analysis</vt:lpstr>
    </vt:vector>
  </TitlesOfParts>
  <Company>Webster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F. Rhiney</dc:creator>
  <cp:lastModifiedBy>Dwight Haskins</cp:lastModifiedBy>
  <dcterms:created xsi:type="dcterms:W3CDTF">2019-05-18T01:35:00Z</dcterms:created>
  <dcterms:modified xsi:type="dcterms:W3CDTF">2025-05-04T05:08:49Z</dcterms:modified>
</cp:coreProperties>
</file>